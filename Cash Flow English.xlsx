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852c0c11891ff46/Work/Code/Accounting/Cash-Flow/"/>
    </mc:Choice>
  </mc:AlternateContent>
  <xr:revisionPtr revIDLastSave="7" documentId="8_{847037F4-B34B-4955-8471-B307393648A6}" xr6:coauthVersionLast="47" xr6:coauthVersionMax="47" xr10:uidLastSave="{A2754428-0E6B-4815-B0C4-C546C790BC92}"/>
  <bookViews>
    <workbookView xWindow="-120" yWindow="-120" windowWidth="29040" windowHeight="15600" tabRatio="601" xr2:uid="{79B85D9D-132E-4007-BD0A-B81E1FE6E187}"/>
  </bookViews>
  <sheets>
    <sheet name="Data" sheetId="1" r:id="rId1"/>
    <sheet name="Chart" sheetId="2" r:id="rId2"/>
  </sheets>
  <definedNames>
    <definedName name="List">Data!$D$5:$D$6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B10" i="1"/>
  <c r="B9" i="1" l="1"/>
  <c r="CK6" i="1" l="1"/>
  <c r="CG6" i="1"/>
  <c r="CC6" i="1"/>
  <c r="BY6" i="1"/>
  <c r="BU6" i="1"/>
  <c r="BQ6" i="1"/>
  <c r="BM6" i="1"/>
  <c r="BI6" i="1"/>
  <c r="CJ6" i="1"/>
  <c r="CF6" i="1"/>
  <c r="CB6" i="1"/>
  <c r="BX6" i="1"/>
  <c r="BT6" i="1"/>
  <c r="BP6" i="1"/>
  <c r="BL6" i="1"/>
  <c r="BH6" i="1"/>
  <c r="CH6" i="1"/>
  <c r="BZ6" i="1"/>
  <c r="BR6" i="1"/>
  <c r="BJ6" i="1"/>
  <c r="CM6" i="1"/>
  <c r="CI6" i="1"/>
  <c r="CE6" i="1"/>
  <c r="CA6" i="1"/>
  <c r="BW6" i="1"/>
  <c r="BS6" i="1"/>
  <c r="BO6" i="1"/>
  <c r="BK6" i="1"/>
  <c r="BG6" i="1"/>
  <c r="CL6" i="1"/>
  <c r="CD6" i="1"/>
  <c r="BV6" i="1"/>
  <c r="BN6" i="1"/>
  <c r="BF6" i="1"/>
  <c r="CK5" i="1"/>
  <c r="CG5" i="1"/>
  <c r="CC5" i="1"/>
  <c r="BY5" i="1"/>
  <c r="BU5" i="1"/>
  <c r="BQ5" i="1"/>
  <c r="BM5" i="1"/>
  <c r="BI5" i="1"/>
  <c r="CL5" i="1"/>
  <c r="BZ5" i="1"/>
  <c r="BN5" i="1"/>
  <c r="BN4" i="1" s="1"/>
  <c r="CJ5" i="1"/>
  <c r="CF5" i="1"/>
  <c r="CB5" i="1"/>
  <c r="BX5" i="1"/>
  <c r="BT5" i="1"/>
  <c r="BP5" i="1"/>
  <c r="BL5" i="1"/>
  <c r="BH5" i="1"/>
  <c r="CH5" i="1"/>
  <c r="BR5" i="1"/>
  <c r="BR4" i="1" s="1"/>
  <c r="BF5" i="1"/>
  <c r="CM5" i="1"/>
  <c r="CI5" i="1"/>
  <c r="CE5" i="1"/>
  <c r="CE4" i="1" s="1"/>
  <c r="CA5" i="1"/>
  <c r="CA4" i="1" s="1"/>
  <c r="BW5" i="1"/>
  <c r="BS5" i="1"/>
  <c r="BO5" i="1"/>
  <c r="BO4" i="1" s="1"/>
  <c r="BK5" i="1"/>
  <c r="BK4" i="1" s="1"/>
  <c r="BG5" i="1"/>
  <c r="CD5" i="1"/>
  <c r="BV5" i="1"/>
  <c r="BJ5" i="1"/>
  <c r="BJ4" i="1" s="1"/>
  <c r="G5" i="1"/>
  <c r="H5" i="1"/>
  <c r="I5" i="1"/>
  <c r="M5" i="1"/>
  <c r="Q5" i="1"/>
  <c r="U5" i="1"/>
  <c r="Y5" i="1"/>
  <c r="AC5" i="1"/>
  <c r="AG5" i="1"/>
  <c r="AK5" i="1"/>
  <c r="AO5" i="1"/>
  <c r="AS5" i="1"/>
  <c r="AW5" i="1"/>
  <c r="BA5" i="1"/>
  <c r="BE5" i="1"/>
  <c r="J5" i="1"/>
  <c r="N5" i="1"/>
  <c r="R5" i="1"/>
  <c r="V5" i="1"/>
  <c r="Z5" i="1"/>
  <c r="AD5" i="1"/>
  <c r="AH5" i="1"/>
  <c r="AL5" i="1"/>
  <c r="AP5" i="1"/>
  <c r="AT5" i="1"/>
  <c r="AX5" i="1"/>
  <c r="BB5" i="1"/>
  <c r="K5" i="1"/>
  <c r="O5" i="1"/>
  <c r="S5" i="1"/>
  <c r="W5" i="1"/>
  <c r="F5" i="1"/>
  <c r="P5" i="1"/>
  <c r="AB5" i="1"/>
  <c r="AJ5" i="1"/>
  <c r="AR5" i="1"/>
  <c r="AZ5" i="1"/>
  <c r="AE5" i="1"/>
  <c r="AM5" i="1"/>
  <c r="AU5" i="1"/>
  <c r="BC5" i="1"/>
  <c r="E5" i="1"/>
  <c r="AF5" i="1"/>
  <c r="AV5" i="1"/>
  <c r="L5" i="1"/>
  <c r="AI5" i="1"/>
  <c r="AY5" i="1"/>
  <c r="T5" i="1"/>
  <c r="X5" i="1"/>
  <c r="AN5" i="1"/>
  <c r="BD5" i="1"/>
  <c r="AA5" i="1"/>
  <c r="AQ5" i="1"/>
  <c r="I6" i="1"/>
  <c r="M6" i="1"/>
  <c r="Q6" i="1"/>
  <c r="U6" i="1"/>
  <c r="Y6" i="1"/>
  <c r="AC6" i="1"/>
  <c r="AG6" i="1"/>
  <c r="AK6" i="1"/>
  <c r="AO6" i="1"/>
  <c r="AS6" i="1"/>
  <c r="AW6" i="1"/>
  <c r="BA6" i="1"/>
  <c r="BE6" i="1"/>
  <c r="F6" i="1"/>
  <c r="J6" i="1"/>
  <c r="N6" i="1"/>
  <c r="R6" i="1"/>
  <c r="V6" i="1"/>
  <c r="Z6" i="1"/>
  <c r="AD6" i="1"/>
  <c r="AH6" i="1"/>
  <c r="AL6" i="1"/>
  <c r="AP6" i="1"/>
  <c r="AT6" i="1"/>
  <c r="AX6" i="1"/>
  <c r="BB6" i="1"/>
  <c r="H6" i="1"/>
  <c r="P6" i="1"/>
  <c r="X6" i="1"/>
  <c r="AF6" i="1"/>
  <c r="AN6" i="1"/>
  <c r="AV6" i="1"/>
  <c r="BD6" i="1"/>
  <c r="K6" i="1"/>
  <c r="S6" i="1"/>
  <c r="AI6" i="1"/>
  <c r="AQ6" i="1"/>
  <c r="L6" i="1"/>
  <c r="AB6" i="1"/>
  <c r="AZ6" i="1"/>
  <c r="O6" i="1"/>
  <c r="AE6" i="1"/>
  <c r="BC6" i="1"/>
  <c r="AA6" i="1"/>
  <c r="AY6" i="1"/>
  <c r="T6" i="1"/>
  <c r="AJ6" i="1"/>
  <c r="AR6" i="1"/>
  <c r="E6" i="1"/>
  <c r="G6" i="1"/>
  <c r="W6" i="1"/>
  <c r="AM6" i="1"/>
  <c r="AU6" i="1"/>
  <c r="BQ4" i="1" l="1"/>
  <c r="BF4" i="1"/>
  <c r="BL4" i="1"/>
  <c r="CB4" i="1"/>
  <c r="BU4" i="1"/>
  <c r="CK4" i="1"/>
  <c r="CD4" i="1"/>
  <c r="BI4" i="1"/>
  <c r="BY4" i="1"/>
  <c r="BV4" i="1"/>
  <c r="BM4" i="1"/>
  <c r="CC4" i="1"/>
  <c r="BH4" i="1"/>
  <c r="BX4" i="1"/>
  <c r="CF4" i="1"/>
  <c r="BS4" i="1"/>
  <c r="CI4" i="1"/>
  <c r="CH4" i="1"/>
  <c r="BT4" i="1"/>
  <c r="CJ4" i="1"/>
  <c r="CL4" i="1"/>
  <c r="BP4" i="1"/>
  <c r="BZ4" i="1"/>
  <c r="CG4" i="1"/>
  <c r="BG4" i="1"/>
  <c r="BW4" i="1"/>
  <c r="CM4" i="1"/>
  <c r="AV4" i="1"/>
  <c r="F4" i="1"/>
  <c r="K4" i="1"/>
  <c r="AS4" i="1"/>
  <c r="AC4" i="1"/>
  <c r="AU4" i="1"/>
  <c r="E4" i="1"/>
  <c r="E7" i="1" s="1"/>
  <c r="M4" i="1"/>
  <c r="AR4" i="1"/>
  <c r="T4" i="1"/>
  <c r="AA4" i="1"/>
  <c r="BD4" i="1"/>
  <c r="AY4" i="1"/>
  <c r="AM4" i="1"/>
  <c r="BE4" i="1"/>
  <c r="AO4" i="1"/>
  <c r="Y4" i="1"/>
  <c r="I4" i="1"/>
  <c r="AP4" i="1"/>
  <c r="J4" i="1"/>
  <c r="AF4" i="1"/>
  <c r="AJ4" i="1"/>
  <c r="BB4" i="1"/>
  <c r="V4" i="1"/>
  <c r="AN4" i="1"/>
  <c r="AI4" i="1"/>
  <c r="AE4" i="1"/>
  <c r="AB4" i="1"/>
  <c r="S4" i="1"/>
  <c r="AX4" i="1"/>
  <c r="AH4" i="1"/>
  <c r="R4" i="1"/>
  <c r="BA4" i="1"/>
  <c r="AK4" i="1"/>
  <c r="U4" i="1"/>
  <c r="H4" i="1"/>
  <c r="Z4" i="1"/>
  <c r="W4" i="1"/>
  <c r="AL4" i="1"/>
  <c r="AQ4" i="1"/>
  <c r="X4" i="1"/>
  <c r="L4" i="1"/>
  <c r="BC4" i="1"/>
  <c r="AZ4" i="1"/>
  <c r="P4" i="1"/>
  <c r="O4" i="1"/>
  <c r="AT4" i="1"/>
  <c r="AD4" i="1"/>
  <c r="N4" i="1"/>
  <c r="AW4" i="1"/>
  <c r="AG4" i="1"/>
  <c r="Q4" i="1"/>
  <c r="G4" i="1"/>
  <c r="BN3" i="1" l="1"/>
  <c r="BF3" i="1"/>
  <c r="F7" i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CF7" i="1" s="1"/>
  <c r="CG7" i="1" s="1"/>
  <c r="CH7" i="1" s="1"/>
  <c r="CI7" i="1" s="1"/>
  <c r="CJ7" i="1" s="1"/>
  <c r="CK7" i="1" s="1"/>
  <c r="CL7" i="1" s="1"/>
  <c r="CM7" i="1" s="1"/>
  <c r="BJ3" i="1"/>
  <c r="R3" i="1"/>
  <c r="CF3" i="1"/>
  <c r="CA3" i="1"/>
  <c r="AE3" i="1"/>
  <c r="E3" i="1"/>
  <c r="BW3" i="1"/>
  <c r="AW3" i="1"/>
  <c r="W3" i="1"/>
  <c r="AJ3" i="1"/>
  <c r="I3" i="1"/>
  <c r="AA3" i="1"/>
  <c r="N3" i="1"/>
  <c r="BA3" i="1"/>
  <c r="AN3" i="1"/>
  <c r="AR3" i="1"/>
  <c r="CJ3" i="1"/>
  <c r="BS3" i="1"/>
</calcChain>
</file>

<file path=xl/sharedStrings.xml><?xml version="1.0" encoding="utf-8"?>
<sst xmlns="http://schemas.openxmlformats.org/spreadsheetml/2006/main" count="117" uniqueCount="107">
  <si>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</si>
  <si>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</si>
  <si>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</si>
  <si>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</si>
  <si>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</si>
  <si>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</si>
  <si>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</si>
  <si>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</si>
  <si>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</si>
  <si>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</si>
  <si>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</si>
  <si>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</si>
  <si>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</si>
  <si>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</si>
  <si>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</si>
  <si>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</si>
  <si>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</si>
  <si>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</si>
  <si>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</si>
  <si>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</si>
  <si>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</si>
  <si>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</si>
  <si>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</si>
  <si>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</si>
  <si>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</si>
  <si>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</si>
  <si>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</si>
  <si>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</si>
  <si>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</si>
  <si>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</si>
  <si>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</si>
  <si>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</si>
  <si>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</si>
  <si>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</si>
  <si>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</si>
  <si>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</si>
  <si>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</si>
  <si>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</si>
  <si>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</si>
  <si>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</si>
  <si>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</si>
  <si>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w10</t>
  </si>
  <si>
    <t>w11</t>
  </si>
  <si>
    <t>isFilter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</si>
  <si>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</si>
  <si>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</si>
  <si>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</si>
  <si>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</si>
  <si>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</si>
  <si>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</si>
  <si>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</si>
  <si>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</si>
  <si>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</si>
  <si>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w53</t>
  </si>
  <si>
    <t>Type</t>
  </si>
  <si>
    <t>Receipt</t>
  </si>
  <si>
    <t>Payment</t>
  </si>
  <si>
    <t>Dec</t>
  </si>
  <si>
    <t>May</t>
  </si>
  <si>
    <t>Title</t>
  </si>
  <si>
    <t>Sum</t>
  </si>
  <si>
    <t>Balance</t>
  </si>
  <si>
    <t>Sep</t>
  </si>
  <si>
    <t>Oct</t>
  </si>
  <si>
    <t>Nov</t>
  </si>
  <si>
    <t>Jan</t>
  </si>
  <si>
    <t>Feb</t>
  </si>
  <si>
    <t>Mar</t>
  </si>
  <si>
    <t>Apr</t>
  </si>
  <si>
    <t>Jun</t>
  </si>
  <si>
    <t>Jul</t>
  </si>
  <si>
    <t>Aug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</si>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</sst>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* 0,###\ &quot;kg&quot;;\ 0\ &quot;kg&quot;;"/>
    <numFmt numFmtId="165" formatCode="_-* #,##0_-;\-* #,##0_-;_-* &quot;-&quot;??_-;_-@_-"/>
  </numFmts>
  <fonts count="16" x14ac:knownFonts="1">
    <font>
      <sz val="10"/>
      <color theme="1"/>
      <name val="Mustang"/>
      <family val="2"/>
      <charset val="178"/>
    </font>
    <font>
      <sz val="10"/>
      <color theme="1"/>
      <name val="Mustang"/>
      <family val="2"/>
      <charset val="178"/>
    </font>
    <font>
      <sz val="8"/>
      <name val="Mustang"/>
      <family val="2"/>
      <charset val="178"/>
    </font>
    <font>
      <sz val="10"/>
      <color theme="1"/>
      <name val="JetBrains Mono"/>
      <family val="3"/>
    </font>
    <font>
      <b/>
      <sz val="10"/>
      <color theme="1" tint="4.9989318521683403E-2"/>
      <name val="JetBrains Mono"/>
      <family val="3"/>
    </font>
    <font>
      <sz val="12"/>
      <color theme="1" tint="0.499984740745262"/>
      <name val="JetBrains Mono"/>
      <family val="3"/>
    </font>
    <font>
      <b/>
      <sz val="10"/>
      <color theme="0" tint="-0.14999847407452621"/>
      <name val="JetBrains Mono"/>
      <family val="3"/>
    </font>
    <font>
      <sz val="10"/>
      <color theme="1" tint="0.34998626667073579"/>
      <name val="JetBrains Mono"/>
      <family val="3"/>
    </font>
    <font>
      <sz val="10"/>
      <color theme="4"/>
      <name val="JetBrains Mono"/>
      <family val="3"/>
    </font>
    <font>
      <sz val="10"/>
      <color theme="7"/>
      <name val="JetBrains Mono"/>
      <family val="3"/>
    </font>
    <font>
      <sz val="10"/>
      <color theme="8"/>
      <name val="JetBrains Mono"/>
      <family val="3"/>
    </font>
    <font>
      <sz val="12"/>
      <color theme="1"/>
      <name val="JetBrains Mono"/>
      <family val="3"/>
    </font>
    <font>
      <b/>
      <sz val="12"/>
      <color theme="1" tint="4.9989318521683403E-2"/>
      <name val="JetBrains Mono"/>
      <family val="3"/>
    </font>
    <font>
      <b/>
      <sz val="16"/>
      <color theme="1"/>
      <name val="JetBrains Mono"/>
      <family val="3"/>
    </font>
    <font>
      <b/>
      <sz val="16"/>
      <color theme="1" tint="4.9989318521683403E-2"/>
      <name val="JetBrains Mono"/>
      <family val="3"/>
    </font>
    <font>
      <sz val="10"/>
      <color theme="0" tint="-0.499984740745262"/>
      <name val="JetBrains Mono"/>
      <family val="3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/>
      <top/>
      <bottom style="dotted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13" fillId="0" borderId="0" xfId="0" applyFont="1"/>
    <xf numFmtId="0" fontId="14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6" fillId="0" borderId="0" xfId="1" applyNumberFormat="1" applyFont="1" applyAlignment="1" applyProtection="1">
      <alignment horizontal="right"/>
    </xf>
    <xf numFmtId="165" fontId="7" fillId="15" borderId="1" xfId="1" applyNumberFormat="1" applyFont="1" applyFill="1" applyBorder="1" applyAlignment="1" applyProtection="1">
      <alignment horizontal="center"/>
    </xf>
    <xf numFmtId="165" fontId="3" fillId="0" borderId="0" xfId="1" applyNumberFormat="1" applyFont="1" applyProtection="1"/>
    <xf numFmtId="165" fontId="8" fillId="14" borderId="1" xfId="1" applyNumberFormat="1" applyFont="1" applyFill="1" applyBorder="1" applyAlignment="1" applyProtection="1">
      <alignment horizontal="center"/>
    </xf>
    <xf numFmtId="165" fontId="9" fillId="14" borderId="1" xfId="1" applyNumberFormat="1" applyFont="1" applyFill="1" applyBorder="1" applyAlignment="1" applyProtection="1">
      <alignment horizontal="center"/>
    </xf>
    <xf numFmtId="0" fontId="3" fillId="0" borderId="0" xfId="0" applyFont="1" applyAlignment="1">
      <alignment horizontal="left"/>
    </xf>
    <xf numFmtId="164" fontId="10" fillId="0" borderId="0" xfId="0" applyNumberFormat="1" applyFont="1"/>
    <xf numFmtId="0" fontId="10" fillId="0" borderId="0" xfId="0" applyFont="1"/>
    <xf numFmtId="3" fontId="3" fillId="0" borderId="0" xfId="0" applyNumberFormat="1" applyFont="1"/>
    <xf numFmtId="164" fontId="3" fillId="0" borderId="0" xfId="0" applyNumberFormat="1" applyFont="1"/>
    <xf numFmtId="3" fontId="10" fillId="0" borderId="0" xfId="0" applyNumberFormat="1" applyFont="1"/>
    <xf numFmtId="0" fontId="3" fillId="0" borderId="0" xfId="0" applyFont="1"/>
    <xf numFmtId="0" fontId="4" fillId="0" borderId="0" xfId="0" applyFont="1"/>
    <xf numFmtId="0" fontId="13" fillId="0" borderId="0" xfId="0" applyFont="1" applyAlignment="1">
      <alignment horizontal="left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1" fontId="5" fillId="11" borderId="2" xfId="0" applyNumberFormat="1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center" vertical="center"/>
    </xf>
    <xf numFmtId="1" fontId="5" fillId="13" borderId="2" xfId="0" applyNumberFormat="1" applyFont="1" applyFill="1" applyBorder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1" fontId="5" fillId="12" borderId="2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165" fontId="15" fillId="0" borderId="0" xfId="1" applyNumberFormat="1" applyFont="1" applyProtection="1"/>
  </cellXfs>
  <cellStyles count="2">
    <cellStyle name="Comma" xfId="1" builtinId="3"/>
    <cellStyle name="Normal" xfId="0" builtinId="0"/>
  </cellStyles>
  <dxfs count="95"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numFmt numFmtId="3" formatCode="#,##0"/>
      <protection locked="1" hidden="0"/>
    </dxf>
    <dxf>
      <font>
        <b val="0"/>
        <strike val="0"/>
        <outline val="0"/>
        <shadow val="0"/>
        <u val="none"/>
        <vertAlign val="baseline"/>
        <sz val="10"/>
        <color theme="8"/>
        <name val="JetBrains Mono"/>
        <family val="3"/>
        <scheme val="none"/>
      </font>
      <numFmt numFmtId="3" formatCode="#,##0"/>
      <protection locked="1" hidden="0"/>
    </dxf>
    <dxf>
      <font>
        <strike val="0"/>
        <outline val="0"/>
        <shadow val="0"/>
        <u val="none"/>
        <vertAlign val="baseline"/>
        <sz val="10"/>
        <color theme="8"/>
        <name val="JetBrains Mono"/>
        <family val="3"/>
        <scheme val="none"/>
      </font>
      <numFmt numFmtId="164" formatCode="* 0,###\ &quot;kg&quot;;\ 0\ &quot;kg&quot;;"/>
      <protection locked="1" hidden="0"/>
    </dxf>
    <dxf>
      <font>
        <strike val="0"/>
        <outline val="0"/>
        <shadow val="0"/>
        <u val="none"/>
        <vertAlign val="baseline"/>
        <sz val="10"/>
        <color theme="8"/>
        <name val="JetBrains Mono"/>
        <family val="3"/>
        <scheme val="none"/>
      </font>
      <numFmt numFmtId="164" formatCode="* 0,###\ &quot;kg&quot;;\ 0\ &quot;kg&quot;;"/>
      <protection locked="1" hidden="0"/>
    </dxf>
    <dxf>
      <font>
        <strike val="0"/>
        <outline val="0"/>
        <shadow val="0"/>
        <u val="none"/>
        <vertAlign val="baseline"/>
        <sz val="10"/>
        <color theme="8"/>
        <name val="JetBrains Mono"/>
        <family val="3"/>
        <scheme val="none"/>
      </font>
      <numFmt numFmtId="164" formatCode="* 0,###\ &quot;kg&quot;;\ 0\ &quot;kg&quot;;"/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protection locked="1" hidden="0"/>
    </dxf>
    <dxf>
      <font>
        <strike val="0"/>
        <outline val="0"/>
        <shadow val="0"/>
        <u val="none"/>
        <vertAlign val="baseline"/>
        <name val="JetBrains Mono"/>
        <family val="3"/>
        <scheme val="none"/>
      </font>
      <alignment horizontal="left" vertical="bottom" textRotation="0" wrapText="0" indent="0" justifyLastLine="0" shrinkToFit="0" readingOrder="0"/>
      <protection locked="1" hidden="0"/>
    </dxf>
    <dxf>
      <font>
        <color theme="8" tint="-0.24994659260841701"/>
      </font>
      <fill>
        <patternFill patternType="darkUp">
          <fgColor theme="8" tint="0.59996337778862885"/>
          <bgColor auto="1"/>
        </patternFill>
      </fill>
      <border>
        <bottom style="thin">
          <color theme="8"/>
        </bottom>
        <vertical/>
        <horizontal/>
      </border>
    </dxf>
    <dxf>
      <font>
        <color theme="1"/>
      </font>
      <fill>
        <patternFill patternType="darkUp">
          <fgColor theme="8" tint="0.79998168889431442"/>
          <bgColor auto="1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5 2" pivot="0" table="0" count="10" xr9:uid="{0453F686-E181-4B5F-A332-5BB4EB070E80}">
      <tableStyleElement type="wholeTable" dxfId="94"/>
      <tableStyleElement type="headerRow" dxfId="93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/>
                </a:solidFill>
                <a:latin typeface="JetBrains Mono" panose="02000009000000000000" pitchFamily="49" charset="0"/>
                <a:ea typeface="JetBrains Mono" panose="02000009000000000000" pitchFamily="49" charset="0"/>
                <a:cs typeface="JetBrains Mono" panose="02000009000000000000" pitchFamily="49" charset="0"/>
              </a:defRPr>
            </a:pPr>
            <a:r>
              <a:rPr lang="en-US" b="0">
                <a:solidFill>
                  <a:schemeClr val="accent6"/>
                </a:solidFill>
                <a:latin typeface="JetBrains Mono" panose="02000009000000000000" pitchFamily="49" charset="0"/>
                <a:ea typeface="JetBrains Mono" panose="02000009000000000000" pitchFamily="49" charset="0"/>
                <a:cs typeface="JetBrains Mono" panose="02000009000000000000" pitchFamily="49" charset="0"/>
              </a:rPr>
              <a:t>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/>
              </a:solidFill>
              <a:latin typeface="JetBrains Mono" panose="02000009000000000000" pitchFamily="49" charset="0"/>
              <a:ea typeface="JetBrains Mono" panose="02000009000000000000" pitchFamily="49" charset="0"/>
              <a:cs typeface="JetBrains Mono" panose="02000009000000000000" pitchFamily="49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923976608187133E-2"/>
          <c:y val="8.419037819136245E-2"/>
          <c:w val="0.9467153996101364"/>
          <c:h val="0.7800997673586256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Data!$D$5</c:f>
              <c:strCache>
                <c:ptCount val="1"/>
                <c:pt idx="0">
                  <c:v> Receipt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Data!$E$8:$CM$8</c:f>
              <c:strCache>
                <c:ptCount val="87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  <c:pt idx="53">
                  <c:v>w54</c:v>
                </c:pt>
                <c:pt idx="54">
                  <c:v>w55</c:v>
                </c:pt>
                <c:pt idx="55">
                  <c:v>w56</c:v>
                </c:pt>
                <c:pt idx="56">
                  <c:v>w57</c:v>
                </c:pt>
                <c:pt idx="57">
                  <c:v>w58</c:v>
                </c:pt>
                <c:pt idx="58">
                  <c:v>w59</c:v>
                </c:pt>
                <c:pt idx="59">
                  <c:v>w60</c:v>
                </c:pt>
                <c:pt idx="60">
                  <c:v>w61</c:v>
                </c:pt>
                <c:pt idx="61">
                  <c:v>w62</c:v>
                </c:pt>
                <c:pt idx="62">
                  <c:v>w63</c:v>
                </c:pt>
                <c:pt idx="63">
                  <c:v>w64</c:v>
                </c:pt>
                <c:pt idx="64">
                  <c:v>w65</c:v>
                </c:pt>
                <c:pt idx="65">
                  <c:v>w66</c:v>
                </c:pt>
                <c:pt idx="66">
                  <c:v>w67</c:v>
                </c:pt>
                <c:pt idx="67">
                  <c:v>w68</c:v>
                </c:pt>
                <c:pt idx="68">
                  <c:v>w69</c:v>
                </c:pt>
                <c:pt idx="69">
                  <c:v>w70</c:v>
                </c:pt>
                <c:pt idx="70">
                  <c:v>w71</c:v>
                </c:pt>
                <c:pt idx="71">
                  <c:v>w72</c:v>
                </c:pt>
                <c:pt idx="72">
                  <c:v>w73</c:v>
                </c:pt>
                <c:pt idx="73">
                  <c:v>w74</c:v>
                </c:pt>
                <c:pt idx="74">
                  <c:v>w75</c:v>
                </c:pt>
                <c:pt idx="75">
                  <c:v>w76</c:v>
                </c:pt>
                <c:pt idx="76">
                  <c:v>w77</c:v>
                </c:pt>
                <c:pt idx="77">
                  <c:v>w78</c:v>
                </c:pt>
                <c:pt idx="78">
                  <c:v>w79</c:v>
                </c:pt>
                <c:pt idx="79">
                  <c:v>w80</c:v>
                </c:pt>
                <c:pt idx="80">
                  <c:v>w81</c:v>
                </c:pt>
                <c:pt idx="81">
                  <c:v>w82</c:v>
                </c:pt>
                <c:pt idx="82">
                  <c:v>w83</c:v>
                </c:pt>
                <c:pt idx="83">
                  <c:v>w84</c:v>
                </c:pt>
                <c:pt idx="84">
                  <c:v>w85</c:v>
                </c:pt>
                <c:pt idx="85">
                  <c:v>w86</c:v>
                </c:pt>
                <c:pt idx="86">
                  <c:v>w87</c:v>
                </c:pt>
              </c:strCache>
            </c:strRef>
          </c:cat>
          <c:val>
            <c:numRef>
              <c:f>Data!$E$5:$CM$5</c:f>
            </c:numRef>
          </c:val>
          <c:extLst>
            <c:ext xmlns:c16="http://schemas.microsoft.com/office/drawing/2014/chart" uri="{C3380CC4-5D6E-409C-BE32-E72D297353CC}">
              <c16:uniqueId val="{00000001-9571-4FE8-BE53-5603045F8027}"/>
            </c:ext>
          </c:extLst>
        </c:ser>
        <c:ser>
          <c:idx val="2"/>
          <c:order val="1"/>
          <c:tx>
            <c:strRef>
              <c:f>Data!$D$6</c:f>
              <c:strCache>
                <c:ptCount val="1"/>
                <c:pt idx="0">
                  <c:v> Payment 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Data!$E$8:$CM$8</c:f>
              <c:strCache>
                <c:ptCount val="87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  <c:pt idx="53">
                  <c:v>w54</c:v>
                </c:pt>
                <c:pt idx="54">
                  <c:v>w55</c:v>
                </c:pt>
                <c:pt idx="55">
                  <c:v>w56</c:v>
                </c:pt>
                <c:pt idx="56">
                  <c:v>w57</c:v>
                </c:pt>
                <c:pt idx="57">
                  <c:v>w58</c:v>
                </c:pt>
                <c:pt idx="58">
                  <c:v>w59</c:v>
                </c:pt>
                <c:pt idx="59">
                  <c:v>w60</c:v>
                </c:pt>
                <c:pt idx="60">
                  <c:v>w61</c:v>
                </c:pt>
                <c:pt idx="61">
                  <c:v>w62</c:v>
                </c:pt>
                <c:pt idx="62">
                  <c:v>w63</c:v>
                </c:pt>
                <c:pt idx="63">
                  <c:v>w64</c:v>
                </c:pt>
                <c:pt idx="64">
                  <c:v>w65</c:v>
                </c:pt>
                <c:pt idx="65">
                  <c:v>w66</c:v>
                </c:pt>
                <c:pt idx="66">
                  <c:v>w67</c:v>
                </c:pt>
                <c:pt idx="67">
                  <c:v>w68</c:v>
                </c:pt>
                <c:pt idx="68">
                  <c:v>w69</c:v>
                </c:pt>
                <c:pt idx="69">
                  <c:v>w70</c:v>
                </c:pt>
                <c:pt idx="70">
                  <c:v>w71</c:v>
                </c:pt>
                <c:pt idx="71">
                  <c:v>w72</c:v>
                </c:pt>
                <c:pt idx="72">
                  <c:v>w73</c:v>
                </c:pt>
                <c:pt idx="73">
                  <c:v>w74</c:v>
                </c:pt>
                <c:pt idx="74">
                  <c:v>w75</c:v>
                </c:pt>
                <c:pt idx="75">
                  <c:v>w76</c:v>
                </c:pt>
                <c:pt idx="76">
                  <c:v>w77</c:v>
                </c:pt>
                <c:pt idx="77">
                  <c:v>w78</c:v>
                </c:pt>
                <c:pt idx="78">
                  <c:v>w79</c:v>
                </c:pt>
                <c:pt idx="79">
                  <c:v>w80</c:v>
                </c:pt>
                <c:pt idx="80">
                  <c:v>w81</c:v>
                </c:pt>
                <c:pt idx="81">
                  <c:v>w82</c:v>
                </c:pt>
                <c:pt idx="82">
                  <c:v>w83</c:v>
                </c:pt>
                <c:pt idx="83">
                  <c:v>w84</c:v>
                </c:pt>
                <c:pt idx="84">
                  <c:v>w85</c:v>
                </c:pt>
                <c:pt idx="85">
                  <c:v>w86</c:v>
                </c:pt>
                <c:pt idx="86">
                  <c:v>w87</c:v>
                </c:pt>
              </c:strCache>
            </c:strRef>
          </c:cat>
          <c:val>
            <c:numRef>
              <c:f>Data!$E$6:$CM$6</c:f>
            </c:numRef>
          </c:val>
          <c:extLst>
            <c:ext xmlns:c16="http://schemas.microsoft.com/office/drawing/2014/chart" uri="{C3380CC4-5D6E-409C-BE32-E72D297353CC}">
              <c16:uniqueId val="{00000002-9571-4FE8-BE53-5603045F8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100"/>
        <c:axId val="764740383"/>
        <c:axId val="764749503"/>
      </c:barChart>
      <c:lineChart>
        <c:grouping val="standard"/>
        <c:varyColors val="0"/>
        <c:ser>
          <c:idx val="0"/>
          <c:order val="2"/>
          <c:tx>
            <c:strRef>
              <c:f>Data!$D$7</c:f>
              <c:strCache>
                <c:ptCount val="1"/>
                <c:pt idx="0">
                  <c:v> Asset </c:v>
                </c:pt>
              </c:strCache>
            </c:strRef>
          </c:tx>
          <c:spPr>
            <a:ln w="28575" cap="rnd">
              <a:solidFill>
                <a:schemeClr val="accent6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Data!$E$8:$CM$8</c:f>
              <c:strCache>
                <c:ptCount val="87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  <c:pt idx="16">
                  <c:v>w17</c:v>
                </c:pt>
                <c:pt idx="17">
                  <c:v>w18</c:v>
                </c:pt>
                <c:pt idx="18">
                  <c:v>w19</c:v>
                </c:pt>
                <c:pt idx="19">
                  <c:v>w20</c:v>
                </c:pt>
                <c:pt idx="20">
                  <c:v>w21</c:v>
                </c:pt>
                <c:pt idx="21">
                  <c:v>w22</c:v>
                </c:pt>
                <c:pt idx="22">
                  <c:v>w23</c:v>
                </c:pt>
                <c:pt idx="23">
                  <c:v>w24</c:v>
                </c:pt>
                <c:pt idx="24">
                  <c:v>w25</c:v>
                </c:pt>
                <c:pt idx="25">
                  <c:v>w26</c:v>
                </c:pt>
                <c:pt idx="26">
                  <c:v>w27</c:v>
                </c:pt>
                <c:pt idx="27">
                  <c:v>w28</c:v>
                </c:pt>
                <c:pt idx="28">
                  <c:v>w29</c:v>
                </c:pt>
                <c:pt idx="29">
                  <c:v>w30</c:v>
                </c:pt>
                <c:pt idx="30">
                  <c:v>w31</c:v>
                </c:pt>
                <c:pt idx="31">
                  <c:v>w32</c:v>
                </c:pt>
                <c:pt idx="32">
                  <c:v>w33</c:v>
                </c:pt>
                <c:pt idx="33">
                  <c:v>w34</c:v>
                </c:pt>
                <c:pt idx="34">
                  <c:v>w35</c:v>
                </c:pt>
                <c:pt idx="35">
                  <c:v>w36</c:v>
                </c:pt>
                <c:pt idx="36">
                  <c:v>w37</c:v>
                </c:pt>
                <c:pt idx="37">
                  <c:v>w38</c:v>
                </c:pt>
                <c:pt idx="38">
                  <c:v>w39</c:v>
                </c:pt>
                <c:pt idx="39">
                  <c:v>w40</c:v>
                </c:pt>
                <c:pt idx="40">
                  <c:v>w41</c:v>
                </c:pt>
                <c:pt idx="41">
                  <c:v>w42</c:v>
                </c:pt>
                <c:pt idx="42">
                  <c:v>w43</c:v>
                </c:pt>
                <c:pt idx="43">
                  <c:v>w44</c:v>
                </c:pt>
                <c:pt idx="44">
                  <c:v>w45</c:v>
                </c:pt>
                <c:pt idx="45">
                  <c:v>w46</c:v>
                </c:pt>
                <c:pt idx="46">
                  <c:v>w47</c:v>
                </c:pt>
                <c:pt idx="47">
                  <c:v>w48</c:v>
                </c:pt>
                <c:pt idx="48">
                  <c:v>w49</c:v>
                </c:pt>
                <c:pt idx="49">
                  <c:v>w50</c:v>
                </c:pt>
                <c:pt idx="50">
                  <c:v>w51</c:v>
                </c:pt>
                <c:pt idx="51">
                  <c:v>w52</c:v>
                </c:pt>
                <c:pt idx="52">
                  <c:v>w53</c:v>
                </c:pt>
                <c:pt idx="53">
                  <c:v>w54</c:v>
                </c:pt>
                <c:pt idx="54">
                  <c:v>w55</c:v>
                </c:pt>
                <c:pt idx="55">
                  <c:v>w56</c:v>
                </c:pt>
                <c:pt idx="56">
                  <c:v>w57</c:v>
                </c:pt>
                <c:pt idx="57">
                  <c:v>w58</c:v>
                </c:pt>
                <c:pt idx="58">
                  <c:v>w59</c:v>
                </c:pt>
                <c:pt idx="59">
                  <c:v>w60</c:v>
                </c:pt>
                <c:pt idx="60">
                  <c:v>w61</c:v>
                </c:pt>
                <c:pt idx="61">
                  <c:v>w62</c:v>
                </c:pt>
                <c:pt idx="62">
                  <c:v>w63</c:v>
                </c:pt>
                <c:pt idx="63">
                  <c:v>w64</c:v>
                </c:pt>
                <c:pt idx="64">
                  <c:v>w65</c:v>
                </c:pt>
                <c:pt idx="65">
                  <c:v>w66</c:v>
                </c:pt>
                <c:pt idx="66">
                  <c:v>w67</c:v>
                </c:pt>
                <c:pt idx="67">
                  <c:v>w68</c:v>
                </c:pt>
                <c:pt idx="68">
                  <c:v>w69</c:v>
                </c:pt>
                <c:pt idx="69">
                  <c:v>w70</c:v>
                </c:pt>
                <c:pt idx="70">
                  <c:v>w71</c:v>
                </c:pt>
                <c:pt idx="71">
                  <c:v>w72</c:v>
                </c:pt>
                <c:pt idx="72">
                  <c:v>w73</c:v>
                </c:pt>
                <c:pt idx="73">
                  <c:v>w74</c:v>
                </c:pt>
                <c:pt idx="74">
                  <c:v>w75</c:v>
                </c:pt>
                <c:pt idx="75">
                  <c:v>w76</c:v>
                </c:pt>
                <c:pt idx="76">
                  <c:v>w77</c:v>
                </c:pt>
                <c:pt idx="77">
                  <c:v>w78</c:v>
                </c:pt>
                <c:pt idx="78">
                  <c:v>w79</c:v>
                </c:pt>
                <c:pt idx="79">
                  <c:v>w80</c:v>
                </c:pt>
                <c:pt idx="80">
                  <c:v>w81</c:v>
                </c:pt>
                <c:pt idx="81">
                  <c:v>w82</c:v>
                </c:pt>
                <c:pt idx="82">
                  <c:v>w83</c:v>
                </c:pt>
                <c:pt idx="83">
                  <c:v>w84</c:v>
                </c:pt>
                <c:pt idx="84">
                  <c:v>w85</c:v>
                </c:pt>
                <c:pt idx="85">
                  <c:v>w86</c:v>
                </c:pt>
                <c:pt idx="86">
                  <c:v>w87</c:v>
                </c:pt>
              </c:strCache>
            </c:strRef>
          </c:cat>
          <c:val>
            <c:numRef>
              <c:f>Data!$E$7:$CM$7</c:f>
            </c:numRef>
          </c:val>
          <c:smooth val="0"/>
          <c:extLst>
            <c:ext xmlns:c16="http://schemas.microsoft.com/office/drawing/2014/chart" uri="{C3380CC4-5D6E-409C-BE32-E72D297353CC}">
              <c16:uniqueId val="{00000000-9571-4FE8-BE53-5603045F8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740383"/>
        <c:axId val="764749503"/>
      </c:lineChart>
      <c:catAx>
        <c:axId val="76474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ustang" panose="020B0503030804020204" pitchFamily="34" charset="-78"/>
                <a:ea typeface="Mustang" panose="020B0503030804020204" pitchFamily="34" charset="-78"/>
                <a:cs typeface="Mustang" panose="020B0503030804020204" pitchFamily="34" charset="-78"/>
              </a:defRPr>
            </a:pPr>
            <a:endParaRPr lang="fa-IR"/>
          </a:p>
        </c:txPr>
        <c:crossAx val="764749503"/>
        <c:crosses val="autoZero"/>
        <c:auto val="1"/>
        <c:lblAlgn val="ctr"/>
        <c:lblOffset val="100"/>
        <c:noMultiLvlLbl val="0"/>
      </c:catAx>
      <c:valAx>
        <c:axId val="76474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ustang" panose="020B0503030804020204" pitchFamily="34" charset="-78"/>
                    <a:ea typeface="Mustang" panose="020B0503030804020204" pitchFamily="34" charset="-78"/>
                    <a:cs typeface="Mustang" panose="020B0503030804020204" pitchFamily="34" charset="-78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ustang" panose="020B0503030804020204" pitchFamily="34" charset="-78"/>
                  <a:ea typeface="Mustang" panose="020B0503030804020204" pitchFamily="34" charset="-78"/>
                  <a:cs typeface="Mustang" panose="020B0503030804020204" pitchFamily="34" charset="-78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ustang" panose="020B0503030804020204" pitchFamily="34" charset="-78"/>
                <a:ea typeface="Mustang" panose="020B0503030804020204" pitchFamily="34" charset="-78"/>
                <a:cs typeface="Mustang" panose="020B0503030804020204" pitchFamily="34" charset="-78"/>
              </a:defRPr>
            </a:pPr>
            <a:endParaRPr lang="fa-IR"/>
          </a:p>
        </c:txPr>
        <c:crossAx val="76474038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rnd" cmpd="sng" algn="ctr">
            <a:solidFill>
              <a:schemeClr val="bg1">
                <a:lumMod val="75000"/>
              </a:schemeClr>
            </a:solidFill>
            <a:prstDash val="sysDash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ustang" panose="020B0503030804020204" pitchFamily="34" charset="-78"/>
                <a:ea typeface="Mustang" panose="020B0503030804020204" pitchFamily="34" charset="-78"/>
                <a:cs typeface="Mustang" panose="020B0503030804020204" pitchFamily="34" charset="-78"/>
              </a:defRPr>
            </a:pPr>
            <a:endParaRPr lang="fa-IR"/>
          </a:p>
        </c:txPr>
      </c:dTable>
      <c:spPr>
        <a:noFill/>
        <a:ln>
          <a:noFill/>
          <a:prstDash val="sysDot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ustang" panose="020B0503030804020204" pitchFamily="34" charset="-78"/>
          <a:ea typeface="Mustang" panose="020B0503030804020204" pitchFamily="34" charset="-78"/>
          <a:cs typeface="Mustang" panose="020B0503030804020204" pitchFamily="34" charset="-78"/>
        </a:defRPr>
      </a:pPr>
      <a:endParaRPr lang="fa-IR"/>
    </a:p>
  </c:txPr>
  <c:printSettings>
    <c:headerFooter/>
    <c:pageMargins b="0.75" l="0.25" r="0.25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37</xdr:col>
      <xdr:colOff>13607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D749D9-A797-4044-9097-F15D1BE89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7E0F88-9DCE-4C80-A4BB-3AE9264C224D}" name="Table1" displayName="Table1" ref="A8:CM10" totalsRowShown="0" headerRowDxfId="92" dataDxfId="91">
  <autoFilter ref="A8:CM10" xr:uid="{827E0F88-9DCE-4C80-A4BB-3AE9264C224D}"/>
  <tableColumns count="91">
    <tableColumn id="1" xr3:uid="{228B23E8-D0E2-4B12-B212-33026DC36A89}" name="Type" dataDxfId="90"/>
    <tableColumn id="57" xr3:uid="{B8CD05FD-BB19-44F3-A54D-1BFA15C4DA29}" name="isFilter" dataDxfId="89">
      <calculatedColumnFormula>SUBTOTAL(103, Table1[[#This Row],[Type]])</calculatedColumnFormula>
    </tableColumn>
    <tableColumn id="56" xr3:uid="{6D595FFB-DCF4-4A49-A6B5-A055B482B89C}" name="Title" dataDxfId="88"/>
    <tableColumn id="2" xr3:uid="{5ABC0F44-4D5D-41C5-9B01-28F26662FE8B}" name="Sum" dataDxfId="87">
      <calculatedColumnFormula>SUM(Table1[[#This Row],[w1]:[w53]])</calculatedColumnFormula>
    </tableColumn>
    <tableColumn id="3" xr3:uid="{BC09EF84-85FF-4E4E-B736-E3D5250A483F}" name="w1" dataDxfId="86"/>
    <tableColumn id="4" xr3:uid="{29513D0A-DB46-400F-8487-EDD6922D4304}" name="w2" dataDxfId="85"/>
    <tableColumn id="5" xr3:uid="{7E3170D5-3786-4B37-8E76-1755000941D6}" name="w3" dataDxfId="84"/>
    <tableColumn id="6" xr3:uid="{EDC30643-63F8-4CF1-82C6-3C9E34AA3CB2}" name="w4" dataDxfId="83"/>
    <tableColumn id="7" xr3:uid="{5749E184-3232-40F2-A985-AAE648242714}" name="w5" dataDxfId="82"/>
    <tableColumn id="8" xr3:uid="{C3077793-AFE3-402A-B880-725A764BF824}" name="w6" dataDxfId="81"/>
    <tableColumn id="9" xr3:uid="{EE501971-3DBC-4B5B-9FF9-0405E2AA2AF0}" name="w7" dataDxfId="80"/>
    <tableColumn id="10" xr3:uid="{40276A41-2DC8-42B3-B037-4C4BDA0A5C9D}" name="w8" dataDxfId="79"/>
    <tableColumn id="11" xr3:uid="{0E46F9F1-2CF9-4E94-909A-17F6344F1210}" name="w9" dataDxfId="78"/>
    <tableColumn id="12" xr3:uid="{3C15558B-2662-41E3-B254-A67211D0F74E}" name="w10" dataDxfId="77"/>
    <tableColumn id="13" xr3:uid="{8C4EB03D-896A-4F02-B3FD-EE6B1D690364}" name="w11" dataDxfId="76"/>
    <tableColumn id="14" xr3:uid="{B91AF945-39E5-42D8-9799-845A31E1BF6F}" name="w12" dataDxfId="75"/>
    <tableColumn id="15" xr3:uid="{606DEDD0-6F62-46B1-8B0C-2D6BB7CE1F62}" name="w13" dataDxfId="74"/>
    <tableColumn id="16" xr3:uid="{CC80E201-A501-49CD-859F-A5BFCDE98CC6}" name="w14" dataDxfId="73"/>
    <tableColumn id="17" xr3:uid="{CEBE3381-9C85-4108-BCBE-E6EA9AA3F242}" name="w15" dataDxfId="72"/>
    <tableColumn id="18" xr3:uid="{074F6A6D-C0D3-4F5F-8307-93305642DD03}" name="w16" dataDxfId="71"/>
    <tableColumn id="19" xr3:uid="{3526B270-FBE3-4E33-98CD-373C66595442}" name="w17" dataDxfId="70"/>
    <tableColumn id="20" xr3:uid="{2EF7F974-AB3B-4A8A-95E9-F92E5635E904}" name="w18" dataDxfId="69"/>
    <tableColumn id="21" xr3:uid="{1D7A14E1-D3A0-458A-BFA1-10A530DDEC7F}" name="w19" dataDxfId="68"/>
    <tableColumn id="22" xr3:uid="{26FB226C-2DA1-47AB-8A8E-2304F590E094}" name="w20" dataDxfId="67"/>
    <tableColumn id="23" xr3:uid="{AFF29E2A-BC6B-43DC-B3C5-3B09B0882E53}" name="w21" dataDxfId="66"/>
    <tableColumn id="24" xr3:uid="{E6F980E9-76D7-4833-BD98-7D0B471C8FA7}" name="w22" dataDxfId="65"/>
    <tableColumn id="25" xr3:uid="{5346D994-571A-4B93-B5A9-4AB09E8BBF44}" name="w23" dataDxfId="64"/>
    <tableColumn id="26" xr3:uid="{42404044-8772-458E-8632-77FBC4F08664}" name="w24" dataDxfId="63"/>
    <tableColumn id="27" xr3:uid="{E571A43A-BCB9-403D-8B84-C152B2318523}" name="w25" dataDxfId="62"/>
    <tableColumn id="28" xr3:uid="{B48391D2-42A7-4760-85BD-4E1095A3C95A}" name="w26" dataDxfId="61"/>
    <tableColumn id="29" xr3:uid="{D2B616DF-A7E9-4C08-B9DE-703C457EF917}" name="w27" dataDxfId="60"/>
    <tableColumn id="30" xr3:uid="{CB202AAE-160D-4D90-ABB9-ADBD4D440D1F}" name="w28" dataDxfId="59"/>
    <tableColumn id="31" xr3:uid="{96F22171-C2DD-4742-8BC3-A778739C7EE0}" name="w29" dataDxfId="58"/>
    <tableColumn id="32" xr3:uid="{919B2BDF-DBDC-4041-9B67-8C5E3DED584D}" name="w30" dataDxfId="57"/>
    <tableColumn id="33" xr3:uid="{4E05B930-023D-4623-A32F-0814890D5FFD}" name="w31" dataDxfId="56"/>
    <tableColumn id="34" xr3:uid="{459BA982-A901-42F0-ACF2-A431F2718D80}" name="w32" dataDxfId="55"/>
    <tableColumn id="35" xr3:uid="{1574A07E-277D-4FCB-B18B-B6E96F7F48B3}" name="w33" dataDxfId="54"/>
    <tableColumn id="36" xr3:uid="{384512D4-50C9-4353-8C50-F3D6DF7C95FC}" name="w34" dataDxfId="53"/>
    <tableColumn id="37" xr3:uid="{299EF4B6-09BE-4CF9-A254-852AF79252E4}" name="w35" dataDxfId="52"/>
    <tableColumn id="38" xr3:uid="{61A1B048-2305-4992-A179-C1F5368E2D43}" name="w36" dataDxfId="51"/>
    <tableColumn id="39" xr3:uid="{9AF02C86-3704-4C53-8DE3-DC7E7257BAEB}" name="w37" dataDxfId="50"/>
    <tableColumn id="40" xr3:uid="{8AB4B8AD-2566-4293-9A79-816A11AE5D2F}" name="w38" dataDxfId="49"/>
    <tableColumn id="41" xr3:uid="{B803BAC9-6EB7-4BBC-BB79-228DD1478EF1}" name="w39" dataDxfId="48"/>
    <tableColumn id="42" xr3:uid="{A460385C-C837-47BE-88CF-115817BD0E5C}" name="w40" dataDxfId="47"/>
    <tableColumn id="43" xr3:uid="{57BAFA50-0811-427A-9A12-CEEF61CFA40B}" name="w41" dataDxfId="46"/>
    <tableColumn id="44" xr3:uid="{D6021E58-B816-45E5-B4DF-0FD5D5DCFBBF}" name="w42" dataDxfId="45"/>
    <tableColumn id="45" xr3:uid="{3A8E0C5D-FF14-47DC-93C4-5F240C5312D3}" name="w43" dataDxfId="44"/>
    <tableColumn id="46" xr3:uid="{DA38BA2F-0576-4A24-9FD9-A39E4709F612}" name="w44" dataDxfId="43"/>
    <tableColumn id="47" xr3:uid="{0DBD556C-14A9-473D-8F2C-90D56ECF5B87}" name="w45" dataDxfId="42"/>
    <tableColumn id="48" xr3:uid="{A25D0319-06E1-4C59-9EE7-062F89DC2250}" name="w46" dataDxfId="41"/>
    <tableColumn id="49" xr3:uid="{B44FB6B3-D1FB-4973-BA6C-3363130E9C9C}" name="w47" dataDxfId="40"/>
    <tableColumn id="50" xr3:uid="{106A8EC1-FE90-4B1E-8395-C23DEB2AE968}" name="w48" dataDxfId="39"/>
    <tableColumn id="51" xr3:uid="{9AEFE9C5-B843-4D25-8669-183FB4798C9C}" name="w49" dataDxfId="38"/>
    <tableColumn id="52" xr3:uid="{747870F5-B194-43FE-8479-7CE1E97F4EE9}" name="w50" dataDxfId="37"/>
    <tableColumn id="53" xr3:uid="{EBE0589D-4CF4-4159-B55B-8B0B70682BD9}" name="w51" dataDxfId="36"/>
    <tableColumn id="54" xr3:uid="{F3E793CD-08A8-4E76-AB32-1A5CAA0B7294}" name="w52" dataDxfId="35"/>
    <tableColumn id="55" xr3:uid="{5643F41D-750B-4361-BB69-1C067C81115A}" name="w53" dataDxfId="34"/>
    <tableColumn id="58" xr3:uid="{87B041C6-3276-483E-9C3E-69B556532B84}" name="w54" dataDxfId="33"/>
    <tableColumn id="59" xr3:uid="{186B4A9B-A168-428A-8287-F458F39CB0E3}" name="w55" dataDxfId="32"/>
    <tableColumn id="60" xr3:uid="{48EEB35A-C9E6-42AF-A9BC-C93F29FDA8AE}" name="w56" dataDxfId="31"/>
    <tableColumn id="61" xr3:uid="{3C16935A-636E-4178-9CAA-675478E07658}" name="w57" dataDxfId="30"/>
    <tableColumn id="62" xr3:uid="{138D6815-02FA-400C-B299-A3BDBFF941F8}" name="w58" dataDxfId="29"/>
    <tableColumn id="63" xr3:uid="{AA9B3F10-7E39-4410-8B82-102C6792489D}" name="w59" dataDxfId="28"/>
    <tableColumn id="64" xr3:uid="{79756940-2E82-407D-BB77-B4AE68F11675}" name="w60" dataDxfId="27"/>
    <tableColumn id="65" xr3:uid="{0EC98C5A-CF5E-4C59-AB72-79613B65DD68}" name="w61" dataDxfId="26"/>
    <tableColumn id="66" xr3:uid="{34343F8D-1241-4E30-B2F4-E415F8E06ADF}" name="w62" dataDxfId="25"/>
    <tableColumn id="67" xr3:uid="{42DAB5B5-FDC1-4540-B3C4-DFFDE8351DFB}" name="w63" dataDxfId="24"/>
    <tableColumn id="68" xr3:uid="{564750F8-F827-470F-85F8-546ED04D9397}" name="w64" dataDxfId="23"/>
    <tableColumn id="69" xr3:uid="{61C3FEB5-E146-47DE-9B1D-7CA0AD577454}" name="w65" dataDxfId="22"/>
    <tableColumn id="70" xr3:uid="{393447F8-C177-43F6-95EC-B40FC9A41C17}" name="w66" dataDxfId="21"/>
    <tableColumn id="71" xr3:uid="{C26227F2-2656-4B0C-8C7B-AAE5553E5987}" name="w67" dataDxfId="20"/>
    <tableColumn id="72" xr3:uid="{9D02F9A0-FF18-4E0C-9C85-A7CD4B8A02E9}" name="w68" dataDxfId="19"/>
    <tableColumn id="73" xr3:uid="{D7F29341-C2D4-4ADE-A7A3-83082F9C38F6}" name="w69" dataDxfId="18"/>
    <tableColumn id="74" xr3:uid="{B79463CA-1487-4171-84D5-4A47A253D01D}" name="w70" dataDxfId="17"/>
    <tableColumn id="75" xr3:uid="{3A541828-21FF-46EA-91BD-6C360D48BAAD}" name="w71" dataDxfId="16"/>
    <tableColumn id="76" xr3:uid="{12D1D5B3-6A8E-46FA-8EA3-A256A105E307}" name="w72" dataDxfId="15"/>
    <tableColumn id="77" xr3:uid="{ECD24C8A-FD0B-4F56-8F02-542B24FB62FE}" name="w73" dataDxfId="14"/>
    <tableColumn id="78" xr3:uid="{5D2FD2B7-24CD-4060-8577-6730D6C99B30}" name="w74" dataDxfId="13"/>
    <tableColumn id="79" xr3:uid="{42D0255D-79B7-46E7-813E-A95839C1E9D2}" name="w75" dataDxfId="12"/>
    <tableColumn id="80" xr3:uid="{43CAB660-97F4-4F36-99D4-5DD723EC8EA9}" name="w76" dataDxfId="11"/>
    <tableColumn id="81" xr3:uid="{5841A504-191F-4D5E-A675-B96BCEC0D6B7}" name="w77" dataDxfId="10"/>
    <tableColumn id="82" xr3:uid="{76B44F75-AFB9-4556-A3BC-5B9C6D2BA0FC}" name="w78" dataDxfId="9"/>
    <tableColumn id="83" xr3:uid="{65D8AF63-927E-41F8-BC15-CBFF3A4C7E79}" name="w79" dataDxfId="8"/>
    <tableColumn id="84" xr3:uid="{ED288058-327B-4544-83E2-E48B9E052294}" name="w80" dataDxfId="7"/>
    <tableColumn id="85" xr3:uid="{81C214B6-29F8-425D-9C13-12787625B9FF}" name="w81" dataDxfId="6"/>
    <tableColumn id="86" xr3:uid="{0763049B-4B76-44F8-8714-B556E59662DE}" name="w82" dataDxfId="5"/>
    <tableColumn id="87" xr3:uid="{04F3E466-14F0-41EB-9250-47E0DF13F73D}" name="w83" dataDxfId="4"/>
    <tableColumn id="88" xr3:uid="{8DA09647-81CB-4CE1-8AA4-21934B231C83}" name="w84" dataDxfId="3"/>
    <tableColumn id="89" xr3:uid="{F78E8AA8-BF1C-457D-83F1-D3945D356DEE}" name="w85" dataDxfId="2"/>
    <tableColumn id="90" xr3:uid="{1D80D9DC-F674-47B0-BC4E-4087F07D6136}" name="w86" dataDxfId="1"/>
    <tableColumn id="91" xr3:uid="{1A0F1507-50BB-4204-A983-6FB9B2243250}" name="w87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Dirty">
      <a:dk1>
        <a:sysClr val="windowText" lastClr="000000"/>
      </a:dk1>
      <a:lt1>
        <a:sysClr val="window" lastClr="FFFFFF"/>
      </a:lt1>
      <a:dk2>
        <a:srgbClr val="9A9388"/>
      </a:dk2>
      <a:lt2>
        <a:srgbClr val="F6F2E8"/>
      </a:lt2>
      <a:accent1>
        <a:srgbClr val="8EBB9A"/>
      </a:accent1>
      <a:accent2>
        <a:srgbClr val="EFD29A"/>
      </a:accent2>
      <a:accent3>
        <a:srgbClr val="E18F64"/>
      </a:accent3>
      <a:accent4>
        <a:srgbClr val="A15353"/>
      </a:accent4>
      <a:accent5>
        <a:srgbClr val="7F6FA9"/>
      </a:accent5>
      <a:accent6>
        <a:srgbClr val="3F7EB4"/>
      </a:accent6>
      <a:hlink>
        <a:srgbClr val="C37D8F"/>
      </a:hlink>
      <a:folHlink>
        <a:srgbClr val="8F6A5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E567-EDD0-4A3D-98CE-ADCEB4D9A34A}">
  <sheetPr>
    <tabColor theme="1" tint="0.14999847407452621"/>
    <outlinePr summaryBelow="0" summaryRight="0"/>
    <pageSetUpPr fitToPage="1"/>
  </sheetPr>
  <dimension ref="A1:CM10"/>
  <sheetViews>
    <sheetView showGridLines="0" tabSelected="1" zoomScaleNormal="100" workbookViewId="0">
      <pane xSplit="4" ySplit="8" topLeftCell="E9" activePane="bottomRight" state="frozen"/>
      <selection pane="topRight" activeCell="E1" sqref="E1"/>
      <selection pane="bottomLeft" activeCell="A8" sqref="A8"/>
      <selection pane="bottomRight" activeCell="E9" sqref="E9"/>
    </sheetView>
  </sheetViews>
  <sheetFormatPr defaultColWidth="9.625" defaultRowHeight="13.5" outlineLevelRow="1" outlineLevelCol="2" x14ac:dyDescent="0.25"/>
  <cols>
    <col min="1" max="1" width="7.875" style="18" bestFit="1" customWidth="1"/>
    <col min="2" max="2" width="9.625" style="18" hidden="1" customWidth="1"/>
    <col min="3" max="3" width="18.375" style="18" bestFit="1" customWidth="1"/>
    <col min="4" max="4" width="11.625" style="19" customWidth="1"/>
    <col min="5" max="5" width="7.625" style="18" customWidth="1"/>
    <col min="6" max="8" width="7.625" style="18" customWidth="1" outlineLevel="2"/>
    <col min="9" max="9" width="7.625" style="18" customWidth="1" outlineLevel="1"/>
    <col min="10" max="13" width="7.625" style="18" customWidth="1" outlineLevel="2"/>
    <col min="14" max="14" width="7.625" style="18" customWidth="1" outlineLevel="1"/>
    <col min="15" max="17" width="7.625" style="18" customWidth="1" outlineLevel="2"/>
    <col min="18" max="18" width="7.625" style="18" customWidth="1" outlineLevel="1"/>
    <col min="19" max="22" width="7.625" style="18" customWidth="1" outlineLevel="2"/>
    <col min="23" max="23" width="7.625" style="18" customWidth="1"/>
    <col min="24" max="26" width="7.625" style="18" customWidth="1" outlineLevel="2"/>
    <col min="27" max="27" width="7.625" style="18" customWidth="1" outlineLevel="1"/>
    <col min="28" max="30" width="7.625" style="18" customWidth="1" outlineLevel="2"/>
    <col min="31" max="31" width="7.625" style="18" customWidth="1" outlineLevel="1"/>
    <col min="32" max="35" width="7.625" style="18" customWidth="1" outlineLevel="2"/>
    <col min="36" max="36" width="7.625" style="18" customWidth="1" outlineLevel="1"/>
    <col min="37" max="39" width="7.625" style="18" customWidth="1" outlineLevel="2"/>
    <col min="40" max="40" width="7.625" style="18" customWidth="1" outlineLevel="1"/>
    <col min="41" max="43" width="7.625" style="18" customWidth="1" outlineLevel="2"/>
    <col min="44" max="44" width="7.625" style="18" customWidth="1" outlineLevel="1"/>
    <col min="45" max="48" width="7.625" style="18" customWidth="1" outlineLevel="2"/>
    <col min="49" max="49" width="7.625" style="18" customWidth="1" outlineLevel="1"/>
    <col min="50" max="52" width="7.625" style="18" customWidth="1" outlineLevel="2"/>
    <col min="53" max="53" width="7.625" style="18" customWidth="1" outlineLevel="1"/>
    <col min="54" max="57" width="7.625" style="18" customWidth="1" outlineLevel="2"/>
    <col min="58" max="58" width="7.625" style="18" customWidth="1" outlineLevel="1"/>
    <col min="59" max="61" width="7.625" style="18" customWidth="1" outlineLevel="2"/>
    <col min="62" max="62" width="7.625" style="18" customWidth="1" outlineLevel="1"/>
    <col min="63" max="65" width="7.625" style="18" customWidth="1" outlineLevel="2"/>
    <col min="66" max="66" width="7.625" style="18" customWidth="1" outlineLevel="1"/>
    <col min="67" max="70" width="7.625" style="18" customWidth="1" outlineLevel="2"/>
    <col min="71" max="71" width="7.625" style="18" customWidth="1" outlineLevel="1"/>
    <col min="72" max="74" width="7.625" style="18" customWidth="1" outlineLevel="2"/>
    <col min="75" max="75" width="7.625" style="18" customWidth="1"/>
    <col min="76" max="78" width="7.625" style="18" customWidth="1" outlineLevel="2"/>
    <col min="79" max="79" width="7.625" style="18" customWidth="1" outlineLevel="1"/>
    <col min="80" max="83" width="7.625" style="18" customWidth="1" outlineLevel="2"/>
    <col min="84" max="84" width="7.625" style="18" customWidth="1" outlineLevel="1"/>
    <col min="85" max="87" width="7.625" style="18" customWidth="1" outlineLevel="2"/>
    <col min="88" max="88" width="7.625" style="18" customWidth="1" outlineLevel="1"/>
    <col min="89" max="91" width="7.625" style="18" customWidth="1" outlineLevel="2"/>
    <col min="92" max="16384" width="9.625" style="18"/>
  </cols>
  <sheetData>
    <row r="1" spans="1:91" s="1" customFormat="1" ht="21" x14ac:dyDescent="0.35">
      <c r="D1" s="2"/>
      <c r="E1" s="20">
        <v>2026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>
        <v>2027</v>
      </c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>
        <v>2028</v>
      </c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</row>
    <row r="2" spans="1:91" s="3" customFormat="1" ht="33" customHeight="1" x14ac:dyDescent="0.4">
      <c r="D2" s="4"/>
      <c r="E2" s="21" t="s">
        <v>62</v>
      </c>
      <c r="F2" s="21"/>
      <c r="G2" s="21"/>
      <c r="H2" s="21"/>
      <c r="I2" s="22" t="s">
        <v>63</v>
      </c>
      <c r="J2" s="22"/>
      <c r="K2" s="22"/>
      <c r="L2" s="22"/>
      <c r="M2" s="22"/>
      <c r="N2" s="23" t="s">
        <v>64</v>
      </c>
      <c r="O2" s="23"/>
      <c r="P2" s="23"/>
      <c r="Q2" s="23"/>
      <c r="R2" s="31" t="s">
        <v>57</v>
      </c>
      <c r="S2" s="31"/>
      <c r="T2" s="31"/>
      <c r="U2" s="31"/>
      <c r="V2" s="31"/>
      <c r="W2" s="32" t="s">
        <v>65</v>
      </c>
      <c r="X2" s="32"/>
      <c r="Y2" s="32"/>
      <c r="Z2" s="32"/>
      <c r="AA2" s="24" t="s">
        <v>66</v>
      </c>
      <c r="AB2" s="24"/>
      <c r="AC2" s="24"/>
      <c r="AD2" s="24"/>
      <c r="AE2" s="34" t="s">
        <v>67</v>
      </c>
      <c r="AF2" s="34"/>
      <c r="AG2" s="34"/>
      <c r="AH2" s="34"/>
      <c r="AI2" s="34"/>
      <c r="AJ2" s="44" t="s">
        <v>68</v>
      </c>
      <c r="AK2" s="44"/>
      <c r="AL2" s="44"/>
      <c r="AM2" s="44"/>
      <c r="AN2" s="25" t="s">
        <v>58</v>
      </c>
      <c r="AO2" s="25"/>
      <c r="AP2" s="25"/>
      <c r="AQ2" s="25"/>
      <c r="AR2" s="40" t="s">
        <v>69</v>
      </c>
      <c r="AS2" s="40"/>
      <c r="AT2" s="40"/>
      <c r="AU2" s="40"/>
      <c r="AV2" s="40"/>
      <c r="AW2" s="39" t="s">
        <v>70</v>
      </c>
      <c r="AX2" s="39"/>
      <c r="AY2" s="39"/>
      <c r="AZ2" s="39"/>
      <c r="BA2" s="38" t="s">
        <v>71</v>
      </c>
      <c r="BB2" s="38"/>
      <c r="BC2" s="38"/>
      <c r="BD2" s="38"/>
      <c r="BE2" s="38"/>
      <c r="BF2" s="21" t="s">
        <v>62</v>
      </c>
      <c r="BG2" s="21"/>
      <c r="BH2" s="21"/>
      <c r="BI2" s="21"/>
      <c r="BJ2" s="22" t="s">
        <v>63</v>
      </c>
      <c r="BK2" s="22"/>
      <c r="BL2" s="22"/>
      <c r="BM2" s="22"/>
      <c r="BN2" s="23" t="s">
        <v>64</v>
      </c>
      <c r="BO2" s="23"/>
      <c r="BP2" s="23"/>
      <c r="BQ2" s="23"/>
      <c r="BR2" s="23"/>
      <c r="BS2" s="31" t="s">
        <v>57</v>
      </c>
      <c r="BT2" s="31"/>
      <c r="BU2" s="31"/>
      <c r="BV2" s="31"/>
      <c r="BW2" s="32" t="s">
        <v>65</v>
      </c>
      <c r="BX2" s="32"/>
      <c r="BY2" s="32"/>
      <c r="BZ2" s="32"/>
      <c r="CA2" s="24" t="s">
        <v>66</v>
      </c>
      <c r="CB2" s="24"/>
      <c r="CC2" s="24"/>
      <c r="CD2" s="24"/>
      <c r="CE2" s="24"/>
      <c r="CF2" s="34" t="s">
        <v>67</v>
      </c>
      <c r="CG2" s="34"/>
      <c r="CH2" s="34"/>
      <c r="CI2" s="34"/>
      <c r="CJ2" s="44" t="s">
        <v>68</v>
      </c>
      <c r="CK2" s="44"/>
      <c r="CL2" s="44"/>
      <c r="CM2" s="44"/>
    </row>
    <row r="3" spans="1:91" s="5" customFormat="1" ht="33" customHeight="1" collapsed="1" x14ac:dyDescent="0.4">
      <c r="D3" s="6"/>
      <c r="E3" s="26">
        <f>SUM(E4:H4)</f>
        <v>0</v>
      </c>
      <c r="F3" s="26"/>
      <c r="G3" s="26"/>
      <c r="H3" s="26"/>
      <c r="I3" s="29">
        <f>SUM(I4:M4)</f>
        <v>0</v>
      </c>
      <c r="J3" s="29"/>
      <c r="K3" s="29"/>
      <c r="L3" s="29"/>
      <c r="M3" s="29"/>
      <c r="N3" s="28">
        <f>SUM(N4:Q4)</f>
        <v>0</v>
      </c>
      <c r="O3" s="28"/>
      <c r="P3" s="28"/>
      <c r="Q3" s="28"/>
      <c r="R3" s="30">
        <f>SUM(R4:V4)</f>
        <v>0</v>
      </c>
      <c r="S3" s="30"/>
      <c r="T3" s="30"/>
      <c r="U3" s="30"/>
      <c r="V3" s="30"/>
      <c r="W3" s="33">
        <f>SUM(W4:Z4)</f>
        <v>0</v>
      </c>
      <c r="X3" s="33"/>
      <c r="Y3" s="33"/>
      <c r="Z3" s="33"/>
      <c r="AA3" s="27">
        <f>SUM(AA4:AD4)</f>
        <v>0</v>
      </c>
      <c r="AB3" s="27"/>
      <c r="AC3" s="27"/>
      <c r="AD3" s="27"/>
      <c r="AE3" s="35">
        <f>SUM(AE4:AI4)</f>
        <v>0</v>
      </c>
      <c r="AF3" s="35"/>
      <c r="AG3" s="35"/>
      <c r="AH3" s="35"/>
      <c r="AI3" s="35"/>
      <c r="AJ3" s="43">
        <f>SUM(AJ4:AM4)</f>
        <v>0</v>
      </c>
      <c r="AK3" s="43"/>
      <c r="AL3" s="43"/>
      <c r="AM3" s="43"/>
      <c r="AN3" s="42">
        <f>SUM(AN4:AQ4)</f>
        <v>0</v>
      </c>
      <c r="AO3" s="42"/>
      <c r="AP3" s="42"/>
      <c r="AQ3" s="42"/>
      <c r="AR3" s="41">
        <f>SUM(AR4:AV4)</f>
        <v>0</v>
      </c>
      <c r="AS3" s="41"/>
      <c r="AT3" s="41"/>
      <c r="AU3" s="41"/>
      <c r="AV3" s="41"/>
      <c r="AW3" s="37">
        <f>SUM(AW4:AZ4)</f>
        <v>0</v>
      </c>
      <c r="AX3" s="37"/>
      <c r="AY3" s="37"/>
      <c r="AZ3" s="37"/>
      <c r="BA3" s="36">
        <f>SUM(BA4:BE4)</f>
        <v>0</v>
      </c>
      <c r="BB3" s="36"/>
      <c r="BC3" s="36"/>
      <c r="BD3" s="36"/>
      <c r="BE3" s="36"/>
      <c r="BF3" s="26">
        <f>SUM(BF4:BI4)</f>
        <v>0</v>
      </c>
      <c r="BG3" s="26"/>
      <c r="BH3" s="26"/>
      <c r="BI3" s="26"/>
      <c r="BJ3" s="29">
        <f>SUM(BJ4:BM4)</f>
        <v>0</v>
      </c>
      <c r="BK3" s="29"/>
      <c r="BL3" s="29"/>
      <c r="BM3" s="29"/>
      <c r="BN3" s="28">
        <f>SUM(BN4:BR4)</f>
        <v>0</v>
      </c>
      <c r="BO3" s="28"/>
      <c r="BP3" s="28"/>
      <c r="BQ3" s="28"/>
      <c r="BR3" s="28"/>
      <c r="BS3" s="30">
        <f>SUM(BS4:BV4)</f>
        <v>0</v>
      </c>
      <c r="BT3" s="30"/>
      <c r="BU3" s="30"/>
      <c r="BV3" s="30"/>
      <c r="BW3" s="33">
        <f>SUM(BW4:BZ4)</f>
        <v>0</v>
      </c>
      <c r="BX3" s="33"/>
      <c r="BY3" s="33"/>
      <c r="BZ3" s="33"/>
      <c r="CA3" s="27">
        <f>SUM(CA4:CE4)</f>
        <v>0</v>
      </c>
      <c r="CB3" s="27"/>
      <c r="CC3" s="27"/>
      <c r="CD3" s="27"/>
      <c r="CE3" s="27"/>
      <c r="CF3" s="35">
        <f>SUM(CF4:CI4)</f>
        <v>0</v>
      </c>
      <c r="CG3" s="35"/>
      <c r="CH3" s="35"/>
      <c r="CI3" s="35"/>
      <c r="CJ3" s="43">
        <f>SUM(CJ4:CM4)</f>
        <v>0</v>
      </c>
      <c r="CK3" s="43"/>
      <c r="CL3" s="43"/>
      <c r="CM3" s="43"/>
    </row>
    <row r="4" spans="1:91" s="5" customFormat="1" ht="16.5" hidden="1" customHeight="1" outlineLevel="1" x14ac:dyDescent="0.25">
      <c r="D4" s="7" t="s">
        <v>61</v>
      </c>
      <c r="E4" s="8">
        <f t="shared" ref="E4:AJ4" si="0">E5 + E6</f>
        <v>0</v>
      </c>
      <c r="F4" s="8">
        <f t="shared" si="0"/>
        <v>0</v>
      </c>
      <c r="G4" s="8">
        <f t="shared" si="0"/>
        <v>0</v>
      </c>
      <c r="H4" s="8">
        <f t="shared" si="0"/>
        <v>0</v>
      </c>
      <c r="I4" s="8">
        <f t="shared" si="0"/>
        <v>0</v>
      </c>
      <c r="J4" s="8">
        <f t="shared" si="0"/>
        <v>0</v>
      </c>
      <c r="K4" s="8">
        <f t="shared" si="0"/>
        <v>0</v>
      </c>
      <c r="L4" s="8">
        <f t="shared" si="0"/>
        <v>0</v>
      </c>
      <c r="M4" s="8">
        <f t="shared" si="0"/>
        <v>0</v>
      </c>
      <c r="N4" s="8">
        <f t="shared" si="0"/>
        <v>0</v>
      </c>
      <c r="O4" s="8">
        <f t="shared" si="0"/>
        <v>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8">
        <f t="shared" si="0"/>
        <v>0</v>
      </c>
      <c r="T4" s="8">
        <f t="shared" si="0"/>
        <v>0</v>
      </c>
      <c r="U4" s="8">
        <f t="shared" si="0"/>
        <v>0</v>
      </c>
      <c r="V4" s="8">
        <f t="shared" si="0"/>
        <v>0</v>
      </c>
      <c r="W4" s="8">
        <f t="shared" si="0"/>
        <v>0</v>
      </c>
      <c r="X4" s="8">
        <f t="shared" si="0"/>
        <v>0</v>
      </c>
      <c r="Y4" s="8">
        <f t="shared" si="0"/>
        <v>0</v>
      </c>
      <c r="Z4" s="8">
        <f t="shared" si="0"/>
        <v>0</v>
      </c>
      <c r="AA4" s="8">
        <f t="shared" si="0"/>
        <v>0</v>
      </c>
      <c r="AB4" s="8">
        <f t="shared" si="0"/>
        <v>0</v>
      </c>
      <c r="AC4" s="8">
        <f t="shared" si="0"/>
        <v>0</v>
      </c>
      <c r="AD4" s="8">
        <f t="shared" si="0"/>
        <v>0</v>
      </c>
      <c r="AE4" s="8">
        <f t="shared" si="0"/>
        <v>0</v>
      </c>
      <c r="AF4" s="8">
        <f t="shared" si="0"/>
        <v>0</v>
      </c>
      <c r="AG4" s="8">
        <f t="shared" si="0"/>
        <v>0</v>
      </c>
      <c r="AH4" s="8">
        <f t="shared" si="0"/>
        <v>0</v>
      </c>
      <c r="AI4" s="8">
        <f t="shared" si="0"/>
        <v>0</v>
      </c>
      <c r="AJ4" s="8">
        <f t="shared" si="0"/>
        <v>0</v>
      </c>
      <c r="AK4" s="8">
        <f t="shared" ref="AK4:CK4" si="1">AK5 + AK6</f>
        <v>0</v>
      </c>
      <c r="AL4" s="8">
        <f t="shared" si="1"/>
        <v>0</v>
      </c>
      <c r="AM4" s="8">
        <f t="shared" si="1"/>
        <v>0</v>
      </c>
      <c r="AN4" s="8">
        <f t="shared" si="1"/>
        <v>0</v>
      </c>
      <c r="AO4" s="8">
        <f t="shared" si="1"/>
        <v>0</v>
      </c>
      <c r="AP4" s="8">
        <f t="shared" si="1"/>
        <v>0</v>
      </c>
      <c r="AQ4" s="8">
        <f t="shared" si="1"/>
        <v>0</v>
      </c>
      <c r="AR4" s="8">
        <f t="shared" si="1"/>
        <v>0</v>
      </c>
      <c r="AS4" s="8">
        <f t="shared" si="1"/>
        <v>0</v>
      </c>
      <c r="AT4" s="8">
        <f t="shared" si="1"/>
        <v>0</v>
      </c>
      <c r="AU4" s="8">
        <f t="shared" si="1"/>
        <v>0</v>
      </c>
      <c r="AV4" s="8">
        <f t="shared" si="1"/>
        <v>0</v>
      </c>
      <c r="AW4" s="8">
        <f t="shared" si="1"/>
        <v>0</v>
      </c>
      <c r="AX4" s="8">
        <f t="shared" si="1"/>
        <v>0</v>
      </c>
      <c r="AY4" s="8">
        <f t="shared" si="1"/>
        <v>0</v>
      </c>
      <c r="AZ4" s="8">
        <f t="shared" si="1"/>
        <v>0</v>
      </c>
      <c r="BA4" s="8">
        <f t="shared" si="1"/>
        <v>0</v>
      </c>
      <c r="BB4" s="8">
        <f t="shared" si="1"/>
        <v>0</v>
      </c>
      <c r="BC4" s="8">
        <f t="shared" si="1"/>
        <v>0</v>
      </c>
      <c r="BD4" s="8">
        <f t="shared" si="1"/>
        <v>0</v>
      </c>
      <c r="BE4" s="8">
        <f t="shared" si="1"/>
        <v>0</v>
      </c>
      <c r="BF4" s="8">
        <f t="shared" si="1"/>
        <v>0</v>
      </c>
      <c r="BG4" s="8">
        <f t="shared" si="1"/>
        <v>0</v>
      </c>
      <c r="BH4" s="8">
        <f t="shared" si="1"/>
        <v>0</v>
      </c>
      <c r="BI4" s="8">
        <f t="shared" si="1"/>
        <v>0</v>
      </c>
      <c r="BJ4" s="8">
        <f t="shared" si="1"/>
        <v>0</v>
      </c>
      <c r="BK4" s="8">
        <f t="shared" si="1"/>
        <v>0</v>
      </c>
      <c r="BL4" s="8">
        <f t="shared" si="1"/>
        <v>0</v>
      </c>
      <c r="BM4" s="8">
        <f t="shared" si="1"/>
        <v>0</v>
      </c>
      <c r="BN4" s="8">
        <f t="shared" si="1"/>
        <v>0</v>
      </c>
      <c r="BO4" s="8">
        <f t="shared" si="1"/>
        <v>0</v>
      </c>
      <c r="BP4" s="8">
        <f t="shared" si="1"/>
        <v>0</v>
      </c>
      <c r="BQ4" s="8">
        <f t="shared" si="1"/>
        <v>0</v>
      </c>
      <c r="BR4" s="8">
        <f t="shared" si="1"/>
        <v>0</v>
      </c>
      <c r="BS4" s="8">
        <f t="shared" si="1"/>
        <v>0</v>
      </c>
      <c r="BT4" s="8">
        <f t="shared" si="1"/>
        <v>0</v>
      </c>
      <c r="BU4" s="8">
        <f t="shared" si="1"/>
        <v>0</v>
      </c>
      <c r="BV4" s="8">
        <f t="shared" si="1"/>
        <v>0</v>
      </c>
      <c r="BW4" s="8">
        <f t="shared" si="1"/>
        <v>0</v>
      </c>
      <c r="BX4" s="8">
        <f t="shared" si="1"/>
        <v>0</v>
      </c>
      <c r="BY4" s="8">
        <f t="shared" si="1"/>
        <v>0</v>
      </c>
      <c r="BZ4" s="8">
        <f t="shared" si="1"/>
        <v>0</v>
      </c>
      <c r="CA4" s="8">
        <f t="shared" si="1"/>
        <v>0</v>
      </c>
      <c r="CB4" s="8">
        <f t="shared" si="1"/>
        <v>0</v>
      </c>
      <c r="CC4" s="8">
        <f t="shared" si="1"/>
        <v>0</v>
      </c>
      <c r="CD4" s="8">
        <f t="shared" si="1"/>
        <v>0</v>
      </c>
      <c r="CE4" s="8">
        <f t="shared" si="1"/>
        <v>0</v>
      </c>
      <c r="CF4" s="8">
        <f t="shared" si="1"/>
        <v>0</v>
      </c>
      <c r="CG4" s="8">
        <f t="shared" si="1"/>
        <v>0</v>
      </c>
      <c r="CH4" s="8">
        <f t="shared" si="1"/>
        <v>0</v>
      </c>
      <c r="CI4" s="8">
        <f t="shared" si="1"/>
        <v>0</v>
      </c>
      <c r="CJ4" s="8">
        <f t="shared" si="1"/>
        <v>0</v>
      </c>
      <c r="CK4" s="8">
        <f t="shared" si="1"/>
        <v>0</v>
      </c>
      <c r="CL4" s="8">
        <f t="shared" ref="CL4:CM4" si="2">CL5 + CL6</f>
        <v>0</v>
      </c>
      <c r="CM4" s="8">
        <f t="shared" si="2"/>
        <v>0</v>
      </c>
    </row>
    <row r="5" spans="1:91" s="9" customFormat="1" ht="16.5" hidden="1" customHeight="1" outlineLevel="1" x14ac:dyDescent="0.25">
      <c r="D5" s="7" t="s">
        <v>55</v>
      </c>
      <c r="E5" s="10">
        <f t="shared" ref="E5:AJ5" si="3">SUMIFS(E9:E90, $A9:$A90, $D5, $B9:$B90, 1) * 1</f>
        <v>0</v>
      </c>
      <c r="F5" s="10">
        <f t="shared" si="3"/>
        <v>0</v>
      </c>
      <c r="G5" s="10">
        <f t="shared" si="3"/>
        <v>0</v>
      </c>
      <c r="H5" s="10">
        <f t="shared" si="3"/>
        <v>0</v>
      </c>
      <c r="I5" s="10">
        <f t="shared" si="3"/>
        <v>0</v>
      </c>
      <c r="J5" s="10">
        <f t="shared" si="3"/>
        <v>0</v>
      </c>
      <c r="K5" s="10">
        <f t="shared" si="3"/>
        <v>0</v>
      </c>
      <c r="L5" s="10">
        <f t="shared" si="3"/>
        <v>0</v>
      </c>
      <c r="M5" s="10">
        <f t="shared" si="3"/>
        <v>0</v>
      </c>
      <c r="N5" s="10">
        <f t="shared" si="3"/>
        <v>0</v>
      </c>
      <c r="O5" s="10">
        <f t="shared" si="3"/>
        <v>0</v>
      </c>
      <c r="P5" s="10">
        <f t="shared" si="3"/>
        <v>0</v>
      </c>
      <c r="Q5" s="10">
        <f t="shared" si="3"/>
        <v>0</v>
      </c>
      <c r="R5" s="10">
        <f t="shared" si="3"/>
        <v>0</v>
      </c>
      <c r="S5" s="10">
        <f t="shared" si="3"/>
        <v>0</v>
      </c>
      <c r="T5" s="10">
        <f t="shared" si="3"/>
        <v>0</v>
      </c>
      <c r="U5" s="10">
        <f t="shared" si="3"/>
        <v>0</v>
      </c>
      <c r="V5" s="10">
        <f t="shared" si="3"/>
        <v>0</v>
      </c>
      <c r="W5" s="10">
        <f t="shared" si="3"/>
        <v>0</v>
      </c>
      <c r="X5" s="10">
        <f t="shared" si="3"/>
        <v>0</v>
      </c>
      <c r="Y5" s="10">
        <f t="shared" si="3"/>
        <v>0</v>
      </c>
      <c r="Z5" s="10">
        <f t="shared" si="3"/>
        <v>0</v>
      </c>
      <c r="AA5" s="10">
        <f t="shared" si="3"/>
        <v>0</v>
      </c>
      <c r="AB5" s="10">
        <f t="shared" si="3"/>
        <v>0</v>
      </c>
      <c r="AC5" s="10">
        <f t="shared" si="3"/>
        <v>0</v>
      </c>
      <c r="AD5" s="10">
        <f t="shared" si="3"/>
        <v>0</v>
      </c>
      <c r="AE5" s="10">
        <f t="shared" si="3"/>
        <v>0</v>
      </c>
      <c r="AF5" s="10">
        <f t="shared" si="3"/>
        <v>0</v>
      </c>
      <c r="AG5" s="10">
        <f t="shared" si="3"/>
        <v>0</v>
      </c>
      <c r="AH5" s="10">
        <f t="shared" si="3"/>
        <v>0</v>
      </c>
      <c r="AI5" s="10">
        <f t="shared" si="3"/>
        <v>0</v>
      </c>
      <c r="AJ5" s="10">
        <f t="shared" si="3"/>
        <v>0</v>
      </c>
      <c r="AK5" s="10">
        <f t="shared" ref="AK5:CK5" si="4">SUMIFS(AK9:AK90, $A9:$A90, $D5, $B9:$B90, 1) * 1</f>
        <v>0</v>
      </c>
      <c r="AL5" s="10">
        <f t="shared" si="4"/>
        <v>0</v>
      </c>
      <c r="AM5" s="10">
        <f t="shared" si="4"/>
        <v>0</v>
      </c>
      <c r="AN5" s="10">
        <f t="shared" si="4"/>
        <v>0</v>
      </c>
      <c r="AO5" s="10">
        <f t="shared" si="4"/>
        <v>0</v>
      </c>
      <c r="AP5" s="10">
        <f t="shared" si="4"/>
        <v>0</v>
      </c>
      <c r="AQ5" s="10">
        <f t="shared" si="4"/>
        <v>0</v>
      </c>
      <c r="AR5" s="10">
        <f t="shared" si="4"/>
        <v>0</v>
      </c>
      <c r="AS5" s="10">
        <f t="shared" si="4"/>
        <v>0</v>
      </c>
      <c r="AT5" s="10">
        <f t="shared" si="4"/>
        <v>0</v>
      </c>
      <c r="AU5" s="10">
        <f t="shared" si="4"/>
        <v>0</v>
      </c>
      <c r="AV5" s="10">
        <f t="shared" si="4"/>
        <v>0</v>
      </c>
      <c r="AW5" s="10">
        <f t="shared" si="4"/>
        <v>0</v>
      </c>
      <c r="AX5" s="10">
        <f t="shared" si="4"/>
        <v>0</v>
      </c>
      <c r="AY5" s="10">
        <f t="shared" si="4"/>
        <v>0</v>
      </c>
      <c r="AZ5" s="10">
        <f t="shared" si="4"/>
        <v>0</v>
      </c>
      <c r="BA5" s="10">
        <f t="shared" si="4"/>
        <v>0</v>
      </c>
      <c r="BB5" s="10">
        <f t="shared" si="4"/>
        <v>0</v>
      </c>
      <c r="BC5" s="10">
        <f t="shared" si="4"/>
        <v>0</v>
      </c>
      <c r="BD5" s="10">
        <f t="shared" si="4"/>
        <v>0</v>
      </c>
      <c r="BE5" s="10">
        <f t="shared" si="4"/>
        <v>0</v>
      </c>
      <c r="BF5" s="10">
        <f t="shared" si="4"/>
        <v>0</v>
      </c>
      <c r="BG5" s="10">
        <f t="shared" si="4"/>
        <v>0</v>
      </c>
      <c r="BH5" s="10">
        <f t="shared" si="4"/>
        <v>0</v>
      </c>
      <c r="BI5" s="10">
        <f t="shared" si="4"/>
        <v>0</v>
      </c>
      <c r="BJ5" s="10">
        <f t="shared" si="4"/>
        <v>0</v>
      </c>
      <c r="BK5" s="10">
        <f t="shared" si="4"/>
        <v>0</v>
      </c>
      <c r="BL5" s="10">
        <f t="shared" si="4"/>
        <v>0</v>
      </c>
      <c r="BM5" s="10">
        <f t="shared" si="4"/>
        <v>0</v>
      </c>
      <c r="BN5" s="10">
        <f t="shared" si="4"/>
        <v>0</v>
      </c>
      <c r="BO5" s="10">
        <f t="shared" si="4"/>
        <v>0</v>
      </c>
      <c r="BP5" s="10">
        <f t="shared" si="4"/>
        <v>0</v>
      </c>
      <c r="BQ5" s="10">
        <f t="shared" si="4"/>
        <v>0</v>
      </c>
      <c r="BR5" s="10">
        <f t="shared" si="4"/>
        <v>0</v>
      </c>
      <c r="BS5" s="10">
        <f t="shared" si="4"/>
        <v>0</v>
      </c>
      <c r="BT5" s="10">
        <f t="shared" si="4"/>
        <v>0</v>
      </c>
      <c r="BU5" s="10">
        <f t="shared" si="4"/>
        <v>0</v>
      </c>
      <c r="BV5" s="10">
        <f t="shared" si="4"/>
        <v>0</v>
      </c>
      <c r="BW5" s="10">
        <f t="shared" si="4"/>
        <v>0</v>
      </c>
      <c r="BX5" s="10">
        <f t="shared" si="4"/>
        <v>0</v>
      </c>
      <c r="BY5" s="10">
        <f t="shared" si="4"/>
        <v>0</v>
      </c>
      <c r="BZ5" s="10">
        <f t="shared" si="4"/>
        <v>0</v>
      </c>
      <c r="CA5" s="10">
        <f t="shared" si="4"/>
        <v>0</v>
      </c>
      <c r="CB5" s="10">
        <f t="shared" si="4"/>
        <v>0</v>
      </c>
      <c r="CC5" s="10">
        <f t="shared" si="4"/>
        <v>0</v>
      </c>
      <c r="CD5" s="10">
        <f t="shared" si="4"/>
        <v>0</v>
      </c>
      <c r="CE5" s="10">
        <f t="shared" si="4"/>
        <v>0</v>
      </c>
      <c r="CF5" s="10">
        <f t="shared" si="4"/>
        <v>0</v>
      </c>
      <c r="CG5" s="10">
        <f t="shared" si="4"/>
        <v>0</v>
      </c>
      <c r="CH5" s="10">
        <f t="shared" si="4"/>
        <v>0</v>
      </c>
      <c r="CI5" s="10">
        <f t="shared" si="4"/>
        <v>0</v>
      </c>
      <c r="CJ5" s="10">
        <f t="shared" si="4"/>
        <v>0</v>
      </c>
      <c r="CK5" s="10">
        <f t="shared" si="4"/>
        <v>0</v>
      </c>
      <c r="CL5" s="10">
        <f t="shared" ref="CL5:CM5" si="5">SUMIFS(CL9:CL90, $A9:$A90, $D5, $B9:$B90, 1) * 1</f>
        <v>0</v>
      </c>
      <c r="CM5" s="10">
        <f t="shared" si="5"/>
        <v>0</v>
      </c>
    </row>
    <row r="6" spans="1:91" s="9" customFormat="1" ht="16.5" hidden="1" customHeight="1" outlineLevel="1" x14ac:dyDescent="0.25">
      <c r="D6" s="7" t="s">
        <v>56</v>
      </c>
      <c r="E6" s="11">
        <f t="shared" ref="E6:AJ6" si="6">SUMIFS(E9:E90, $A9:$A90, $D6, $B9:$B90, 1) * -1</f>
        <v>0</v>
      </c>
      <c r="F6" s="11">
        <f t="shared" si="6"/>
        <v>0</v>
      </c>
      <c r="G6" s="11">
        <f t="shared" si="6"/>
        <v>0</v>
      </c>
      <c r="H6" s="11">
        <f t="shared" si="6"/>
        <v>0</v>
      </c>
      <c r="I6" s="11">
        <f t="shared" si="6"/>
        <v>0</v>
      </c>
      <c r="J6" s="11">
        <f t="shared" si="6"/>
        <v>0</v>
      </c>
      <c r="K6" s="11">
        <f t="shared" si="6"/>
        <v>0</v>
      </c>
      <c r="L6" s="11">
        <f t="shared" si="6"/>
        <v>0</v>
      </c>
      <c r="M6" s="11">
        <f t="shared" si="6"/>
        <v>0</v>
      </c>
      <c r="N6" s="11">
        <f t="shared" si="6"/>
        <v>0</v>
      </c>
      <c r="O6" s="11">
        <f t="shared" si="6"/>
        <v>0</v>
      </c>
      <c r="P6" s="11">
        <f t="shared" si="6"/>
        <v>0</v>
      </c>
      <c r="Q6" s="11">
        <f t="shared" si="6"/>
        <v>0</v>
      </c>
      <c r="R6" s="11">
        <f t="shared" si="6"/>
        <v>0</v>
      </c>
      <c r="S6" s="11">
        <f t="shared" si="6"/>
        <v>0</v>
      </c>
      <c r="T6" s="11">
        <f t="shared" si="6"/>
        <v>0</v>
      </c>
      <c r="U6" s="11">
        <f t="shared" si="6"/>
        <v>0</v>
      </c>
      <c r="V6" s="11">
        <f t="shared" si="6"/>
        <v>0</v>
      </c>
      <c r="W6" s="11">
        <f t="shared" si="6"/>
        <v>0</v>
      </c>
      <c r="X6" s="11">
        <f t="shared" si="6"/>
        <v>0</v>
      </c>
      <c r="Y6" s="11">
        <f t="shared" si="6"/>
        <v>0</v>
      </c>
      <c r="Z6" s="11">
        <f t="shared" si="6"/>
        <v>0</v>
      </c>
      <c r="AA6" s="11">
        <f t="shared" si="6"/>
        <v>0</v>
      </c>
      <c r="AB6" s="11">
        <f t="shared" si="6"/>
        <v>0</v>
      </c>
      <c r="AC6" s="11">
        <f t="shared" si="6"/>
        <v>0</v>
      </c>
      <c r="AD6" s="11">
        <f t="shared" si="6"/>
        <v>0</v>
      </c>
      <c r="AE6" s="11">
        <f t="shared" si="6"/>
        <v>0</v>
      </c>
      <c r="AF6" s="11">
        <f t="shared" si="6"/>
        <v>0</v>
      </c>
      <c r="AG6" s="11">
        <f t="shared" si="6"/>
        <v>0</v>
      </c>
      <c r="AH6" s="11">
        <f t="shared" si="6"/>
        <v>0</v>
      </c>
      <c r="AI6" s="11">
        <f t="shared" si="6"/>
        <v>0</v>
      </c>
      <c r="AJ6" s="11">
        <f t="shared" si="6"/>
        <v>0</v>
      </c>
      <c r="AK6" s="11">
        <f t="shared" ref="AK6:CK6" si="7">SUMIFS(AK9:AK90, $A9:$A90, $D6, $B9:$B90, 1) * -1</f>
        <v>0</v>
      </c>
      <c r="AL6" s="11">
        <f t="shared" si="7"/>
        <v>0</v>
      </c>
      <c r="AM6" s="11">
        <f t="shared" si="7"/>
        <v>0</v>
      </c>
      <c r="AN6" s="11">
        <f t="shared" si="7"/>
        <v>0</v>
      </c>
      <c r="AO6" s="11">
        <f t="shared" si="7"/>
        <v>0</v>
      </c>
      <c r="AP6" s="11">
        <f t="shared" si="7"/>
        <v>0</v>
      </c>
      <c r="AQ6" s="11">
        <f t="shared" si="7"/>
        <v>0</v>
      </c>
      <c r="AR6" s="11">
        <f t="shared" si="7"/>
        <v>0</v>
      </c>
      <c r="AS6" s="11">
        <f t="shared" si="7"/>
        <v>0</v>
      </c>
      <c r="AT6" s="11">
        <f t="shared" si="7"/>
        <v>0</v>
      </c>
      <c r="AU6" s="11">
        <f t="shared" si="7"/>
        <v>0</v>
      </c>
      <c r="AV6" s="11">
        <f t="shared" si="7"/>
        <v>0</v>
      </c>
      <c r="AW6" s="11">
        <f t="shared" si="7"/>
        <v>0</v>
      </c>
      <c r="AX6" s="11">
        <f t="shared" si="7"/>
        <v>0</v>
      </c>
      <c r="AY6" s="11">
        <f t="shared" si="7"/>
        <v>0</v>
      </c>
      <c r="AZ6" s="11">
        <f t="shared" si="7"/>
        <v>0</v>
      </c>
      <c r="BA6" s="11">
        <f t="shared" si="7"/>
        <v>0</v>
      </c>
      <c r="BB6" s="11">
        <f t="shared" si="7"/>
        <v>0</v>
      </c>
      <c r="BC6" s="11">
        <f t="shared" si="7"/>
        <v>0</v>
      </c>
      <c r="BD6" s="11">
        <f t="shared" si="7"/>
        <v>0</v>
      </c>
      <c r="BE6" s="11">
        <f t="shared" si="7"/>
        <v>0</v>
      </c>
      <c r="BF6" s="11">
        <f t="shared" si="7"/>
        <v>0</v>
      </c>
      <c r="BG6" s="11">
        <f t="shared" si="7"/>
        <v>0</v>
      </c>
      <c r="BH6" s="11">
        <f t="shared" si="7"/>
        <v>0</v>
      </c>
      <c r="BI6" s="11">
        <f t="shared" si="7"/>
        <v>0</v>
      </c>
      <c r="BJ6" s="11">
        <f t="shared" si="7"/>
        <v>0</v>
      </c>
      <c r="BK6" s="11">
        <f t="shared" si="7"/>
        <v>0</v>
      </c>
      <c r="BL6" s="11">
        <f t="shared" si="7"/>
        <v>0</v>
      </c>
      <c r="BM6" s="11">
        <f t="shared" si="7"/>
        <v>0</v>
      </c>
      <c r="BN6" s="11">
        <f t="shared" si="7"/>
        <v>0</v>
      </c>
      <c r="BO6" s="11">
        <f t="shared" si="7"/>
        <v>0</v>
      </c>
      <c r="BP6" s="11">
        <f t="shared" si="7"/>
        <v>0</v>
      </c>
      <c r="BQ6" s="11">
        <f t="shared" si="7"/>
        <v>0</v>
      </c>
      <c r="BR6" s="11">
        <f t="shared" si="7"/>
        <v>0</v>
      </c>
      <c r="BS6" s="11">
        <f t="shared" si="7"/>
        <v>0</v>
      </c>
      <c r="BT6" s="11">
        <f t="shared" si="7"/>
        <v>0</v>
      </c>
      <c r="BU6" s="11">
        <f t="shared" si="7"/>
        <v>0</v>
      </c>
      <c r="BV6" s="11">
        <f t="shared" si="7"/>
        <v>0</v>
      </c>
      <c r="BW6" s="11">
        <f t="shared" si="7"/>
        <v>0</v>
      </c>
      <c r="BX6" s="11">
        <f t="shared" si="7"/>
        <v>0</v>
      </c>
      <c r="BY6" s="11">
        <f t="shared" si="7"/>
        <v>0</v>
      </c>
      <c r="BZ6" s="11">
        <f t="shared" si="7"/>
        <v>0</v>
      </c>
      <c r="CA6" s="11">
        <f t="shared" si="7"/>
        <v>0</v>
      </c>
      <c r="CB6" s="11">
        <f t="shared" si="7"/>
        <v>0</v>
      </c>
      <c r="CC6" s="11">
        <f t="shared" si="7"/>
        <v>0</v>
      </c>
      <c r="CD6" s="11">
        <f t="shared" si="7"/>
        <v>0</v>
      </c>
      <c r="CE6" s="11">
        <f t="shared" si="7"/>
        <v>0</v>
      </c>
      <c r="CF6" s="11">
        <f t="shared" si="7"/>
        <v>0</v>
      </c>
      <c r="CG6" s="11">
        <f t="shared" si="7"/>
        <v>0</v>
      </c>
      <c r="CH6" s="11">
        <f t="shared" si="7"/>
        <v>0</v>
      </c>
      <c r="CI6" s="11">
        <f t="shared" si="7"/>
        <v>0</v>
      </c>
      <c r="CJ6" s="11">
        <f t="shared" si="7"/>
        <v>0</v>
      </c>
      <c r="CK6" s="11">
        <f t="shared" si="7"/>
        <v>0</v>
      </c>
      <c r="CL6" s="11">
        <f t="shared" ref="CL6:CM6" si="8">SUMIFS(CL9:CL90, $A9:$A90, $D6, $B9:$B90, 1) * -1</f>
        <v>0</v>
      </c>
      <c r="CM6" s="11">
        <f t="shared" si="8"/>
        <v>0</v>
      </c>
    </row>
    <row r="7" spans="1:91" s="45" customFormat="1" ht="16.5" hidden="1" customHeight="1" outlineLevel="1" x14ac:dyDescent="0.25">
      <c r="A7" s="9"/>
      <c r="B7" s="9"/>
      <c r="C7" s="9"/>
      <c r="D7" s="7" t="s">
        <v>106</v>
      </c>
      <c r="E7" s="45">
        <f>E4</f>
        <v>0</v>
      </c>
      <c r="F7" s="45">
        <f t="shared" ref="F7:AK7" si="9">E7+F4</f>
        <v>0</v>
      </c>
      <c r="G7" s="45">
        <f t="shared" si="9"/>
        <v>0</v>
      </c>
      <c r="H7" s="45">
        <f t="shared" si="9"/>
        <v>0</v>
      </c>
      <c r="I7" s="45">
        <f t="shared" si="9"/>
        <v>0</v>
      </c>
      <c r="J7" s="45">
        <f t="shared" si="9"/>
        <v>0</v>
      </c>
      <c r="K7" s="45">
        <f t="shared" si="9"/>
        <v>0</v>
      </c>
      <c r="L7" s="45">
        <f t="shared" si="9"/>
        <v>0</v>
      </c>
      <c r="M7" s="45">
        <f t="shared" si="9"/>
        <v>0</v>
      </c>
      <c r="N7" s="45">
        <f t="shared" si="9"/>
        <v>0</v>
      </c>
      <c r="O7" s="45">
        <f t="shared" si="9"/>
        <v>0</v>
      </c>
      <c r="P7" s="45">
        <f t="shared" si="9"/>
        <v>0</v>
      </c>
      <c r="Q7" s="45">
        <f t="shared" si="9"/>
        <v>0</v>
      </c>
      <c r="R7" s="45">
        <f t="shared" si="9"/>
        <v>0</v>
      </c>
      <c r="S7" s="45">
        <f t="shared" si="9"/>
        <v>0</v>
      </c>
      <c r="T7" s="45">
        <f t="shared" si="9"/>
        <v>0</v>
      </c>
      <c r="U7" s="45">
        <f t="shared" si="9"/>
        <v>0</v>
      </c>
      <c r="V7" s="45">
        <f t="shared" si="9"/>
        <v>0</v>
      </c>
      <c r="W7" s="45">
        <f t="shared" si="9"/>
        <v>0</v>
      </c>
      <c r="X7" s="45">
        <f t="shared" si="9"/>
        <v>0</v>
      </c>
      <c r="Y7" s="45">
        <f t="shared" si="9"/>
        <v>0</v>
      </c>
      <c r="Z7" s="45">
        <f t="shared" si="9"/>
        <v>0</v>
      </c>
      <c r="AA7" s="45">
        <f t="shared" si="9"/>
        <v>0</v>
      </c>
      <c r="AB7" s="45">
        <f t="shared" si="9"/>
        <v>0</v>
      </c>
      <c r="AC7" s="45">
        <f t="shared" si="9"/>
        <v>0</v>
      </c>
      <c r="AD7" s="45">
        <f t="shared" si="9"/>
        <v>0</v>
      </c>
      <c r="AE7" s="45">
        <f t="shared" si="9"/>
        <v>0</v>
      </c>
      <c r="AF7" s="45">
        <f t="shared" si="9"/>
        <v>0</v>
      </c>
      <c r="AG7" s="45">
        <f t="shared" si="9"/>
        <v>0</v>
      </c>
      <c r="AH7" s="45">
        <f t="shared" si="9"/>
        <v>0</v>
      </c>
      <c r="AI7" s="45">
        <f t="shared" si="9"/>
        <v>0</v>
      </c>
      <c r="AJ7" s="45">
        <f t="shared" si="9"/>
        <v>0</v>
      </c>
      <c r="AK7" s="45">
        <f t="shared" si="9"/>
        <v>0</v>
      </c>
      <c r="AL7" s="45">
        <f t="shared" ref="AL7:BF7" si="10">AK7+AL4</f>
        <v>0</v>
      </c>
      <c r="AM7" s="45">
        <f t="shared" si="10"/>
        <v>0</v>
      </c>
      <c r="AN7" s="45">
        <f t="shared" si="10"/>
        <v>0</v>
      </c>
      <c r="AO7" s="45">
        <f t="shared" si="10"/>
        <v>0</v>
      </c>
      <c r="AP7" s="45">
        <f t="shared" si="10"/>
        <v>0</v>
      </c>
      <c r="AQ7" s="45">
        <f t="shared" si="10"/>
        <v>0</v>
      </c>
      <c r="AR7" s="45">
        <f t="shared" si="10"/>
        <v>0</v>
      </c>
      <c r="AS7" s="45">
        <f t="shared" si="10"/>
        <v>0</v>
      </c>
      <c r="AT7" s="45">
        <f t="shared" si="10"/>
        <v>0</v>
      </c>
      <c r="AU7" s="45">
        <f t="shared" si="10"/>
        <v>0</v>
      </c>
      <c r="AV7" s="45">
        <f t="shared" si="10"/>
        <v>0</v>
      </c>
      <c r="AW7" s="45">
        <f t="shared" si="10"/>
        <v>0</v>
      </c>
      <c r="AX7" s="45">
        <f t="shared" si="10"/>
        <v>0</v>
      </c>
      <c r="AY7" s="45">
        <f t="shared" si="10"/>
        <v>0</v>
      </c>
      <c r="AZ7" s="45">
        <f t="shared" si="10"/>
        <v>0</v>
      </c>
      <c r="BA7" s="45">
        <f t="shared" si="10"/>
        <v>0</v>
      </c>
      <c r="BB7" s="45">
        <f t="shared" si="10"/>
        <v>0</v>
      </c>
      <c r="BC7" s="45">
        <f t="shared" si="10"/>
        <v>0</v>
      </c>
      <c r="BD7" s="45">
        <f t="shared" si="10"/>
        <v>0</v>
      </c>
      <c r="BE7" s="45">
        <f>BD7+BE4</f>
        <v>0</v>
      </c>
      <c r="BF7" s="45">
        <f>BE7+BF4</f>
        <v>0</v>
      </c>
      <c r="BG7" s="45">
        <f>BF7+BG4</f>
        <v>0</v>
      </c>
      <c r="BH7" s="45">
        <f t="shared" ref="BH7" si="11">BG7+BH4</f>
        <v>0</v>
      </c>
      <c r="BI7" s="45">
        <f t="shared" ref="BI7" si="12">BH7+BI4</f>
        <v>0</v>
      </c>
      <c r="BJ7" s="45">
        <f t="shared" ref="BJ7" si="13">BI7+BJ4</f>
        <v>0</v>
      </c>
      <c r="BK7" s="45">
        <f t="shared" ref="BK7" si="14">BJ7+BK4</f>
        <v>0</v>
      </c>
      <c r="BL7" s="45">
        <f t="shared" ref="BL7" si="15">BK7+BL4</f>
        <v>0</v>
      </c>
      <c r="BM7" s="45">
        <f t="shared" ref="BM7" si="16">BL7+BM4</f>
        <v>0</v>
      </c>
      <c r="BN7" s="45">
        <f t="shared" ref="BN7" si="17">BM7+BN4</f>
        <v>0</v>
      </c>
      <c r="BO7" s="45">
        <f t="shared" ref="BO7" si="18">BN7+BO4</f>
        <v>0</v>
      </c>
      <c r="BP7" s="45">
        <f t="shared" ref="BP7" si="19">BO7+BP4</f>
        <v>0</v>
      </c>
      <c r="BQ7" s="45">
        <f t="shared" ref="BQ7" si="20">BP7+BQ4</f>
        <v>0</v>
      </c>
      <c r="BR7" s="45">
        <f t="shared" ref="BR7" si="21">BQ7+BR4</f>
        <v>0</v>
      </c>
      <c r="BS7" s="45">
        <f t="shared" ref="BS7" si="22">BR7+BS4</f>
        <v>0</v>
      </c>
      <c r="BT7" s="45">
        <f t="shared" ref="BT7" si="23">BS7+BT4</f>
        <v>0</v>
      </c>
      <c r="BU7" s="45">
        <f t="shared" ref="BU7" si="24">BT7+BU4</f>
        <v>0</v>
      </c>
      <c r="BV7" s="45">
        <f t="shared" ref="BV7" si="25">BU7+BV4</f>
        <v>0</v>
      </c>
      <c r="BW7" s="45">
        <f t="shared" ref="BW7" si="26">BV7+BW4</f>
        <v>0</v>
      </c>
      <c r="BX7" s="45">
        <f t="shared" ref="BX7" si="27">BW7+BX4</f>
        <v>0</v>
      </c>
      <c r="BY7" s="45">
        <f t="shared" ref="BY7" si="28">BX7+BY4</f>
        <v>0</v>
      </c>
      <c r="BZ7" s="45">
        <f t="shared" ref="BZ7" si="29">BY7+BZ4</f>
        <v>0</v>
      </c>
      <c r="CA7" s="45">
        <f t="shared" ref="CA7" si="30">BZ7+CA4</f>
        <v>0</v>
      </c>
      <c r="CB7" s="45">
        <f t="shared" ref="CB7" si="31">CA7+CB4</f>
        <v>0</v>
      </c>
      <c r="CC7" s="45">
        <f t="shared" ref="CC7" si="32">CB7+CC4</f>
        <v>0</v>
      </c>
      <c r="CD7" s="45">
        <f t="shared" ref="CD7" si="33">CC7+CD4</f>
        <v>0</v>
      </c>
      <c r="CE7" s="45">
        <f t="shared" ref="CE7" si="34">CD7+CE4</f>
        <v>0</v>
      </c>
      <c r="CF7" s="45">
        <f t="shared" ref="CF7" si="35">CE7+CF4</f>
        <v>0</v>
      </c>
      <c r="CG7" s="45">
        <f t="shared" ref="CG7" si="36">CF7+CG4</f>
        <v>0</v>
      </c>
      <c r="CH7" s="45">
        <f t="shared" ref="CH7" si="37">CG7+CH4</f>
        <v>0</v>
      </c>
      <c r="CI7" s="45">
        <f t="shared" ref="CI7" si="38">CH7+CI4</f>
        <v>0</v>
      </c>
      <c r="CJ7" s="45">
        <f t="shared" ref="CJ7" si="39">CI7+CJ4</f>
        <v>0</v>
      </c>
      <c r="CK7" s="45">
        <f t="shared" ref="CK7" si="40">CJ7+CK4</f>
        <v>0</v>
      </c>
      <c r="CL7" s="45">
        <f t="shared" ref="CL7" si="41">CK7+CL4</f>
        <v>0</v>
      </c>
      <c r="CM7" s="45">
        <f t="shared" ref="CM7" si="42">CL7+CM4</f>
        <v>0</v>
      </c>
    </row>
    <row r="8" spans="1:91" s="12" customFormat="1" x14ac:dyDescent="0.25">
      <c r="A8" s="12" t="s">
        <v>54</v>
      </c>
      <c r="B8" s="12" t="s">
        <v>43</v>
      </c>
      <c r="C8" s="12" t="s">
        <v>59</v>
      </c>
      <c r="D8" s="12" t="s">
        <v>60</v>
      </c>
      <c r="E8" s="12" t="s">
        <v>44</v>
      </c>
      <c r="F8" s="12" t="s">
        <v>45</v>
      </c>
      <c r="G8" s="12" t="s">
        <v>46</v>
      </c>
      <c r="H8" s="12" t="s">
        <v>47</v>
      </c>
      <c r="I8" s="12" t="s">
        <v>48</v>
      </c>
      <c r="J8" s="12" t="s">
        <v>49</v>
      </c>
      <c r="K8" s="12" t="s">
        <v>50</v>
      </c>
      <c r="L8" s="12" t="s">
        <v>51</v>
      </c>
      <c r="M8" s="12" t="s">
        <v>52</v>
      </c>
      <c r="N8" s="12" t="s">
        <v>41</v>
      </c>
      <c r="O8" s="12" t="s">
        <v>42</v>
      </c>
      <c r="P8" s="12" t="s">
        <v>0</v>
      </c>
      <c r="Q8" s="12" t="s">
        <v>1</v>
      </c>
      <c r="R8" s="12" t="s">
        <v>2</v>
      </c>
      <c r="S8" s="12" t="s">
        <v>3</v>
      </c>
      <c r="T8" s="12" t="s">
        <v>4</v>
      </c>
      <c r="U8" s="12" t="s">
        <v>5</v>
      </c>
      <c r="V8" s="12" t="s">
        <v>6</v>
      </c>
      <c r="W8" s="12" t="s">
        <v>7</v>
      </c>
      <c r="X8" s="12" t="s">
        <v>8</v>
      </c>
      <c r="Y8" s="12" t="s">
        <v>9</v>
      </c>
      <c r="Z8" s="12" t="s">
        <v>10</v>
      </c>
      <c r="AA8" s="12" t="s">
        <v>11</v>
      </c>
      <c r="AB8" s="12" t="s">
        <v>12</v>
      </c>
      <c r="AC8" s="12" t="s">
        <v>13</v>
      </c>
      <c r="AD8" s="12" t="s">
        <v>14</v>
      </c>
      <c r="AE8" s="12" t="s">
        <v>15</v>
      </c>
      <c r="AF8" s="12" t="s">
        <v>16</v>
      </c>
      <c r="AG8" s="12" t="s">
        <v>17</v>
      </c>
      <c r="AH8" s="12" t="s">
        <v>18</v>
      </c>
      <c r="AI8" s="12" t="s">
        <v>19</v>
      </c>
      <c r="AJ8" s="12" t="s">
        <v>20</v>
      </c>
      <c r="AK8" s="12" t="s">
        <v>21</v>
      </c>
      <c r="AL8" s="12" t="s">
        <v>22</v>
      </c>
      <c r="AM8" s="12" t="s">
        <v>23</v>
      </c>
      <c r="AN8" s="12" t="s">
        <v>24</v>
      </c>
      <c r="AO8" s="12" t="s">
        <v>25</v>
      </c>
      <c r="AP8" s="12" t="s">
        <v>26</v>
      </c>
      <c r="AQ8" s="12" t="s">
        <v>27</v>
      </c>
      <c r="AR8" s="12" t="s">
        <v>28</v>
      </c>
      <c r="AS8" s="12" t="s">
        <v>29</v>
      </c>
      <c r="AT8" s="12" t="s">
        <v>30</v>
      </c>
      <c r="AU8" s="12" t="s">
        <v>31</v>
      </c>
      <c r="AV8" s="12" t="s">
        <v>32</v>
      </c>
      <c r="AW8" s="12" t="s">
        <v>33</v>
      </c>
      <c r="AX8" s="12" t="s">
        <v>34</v>
      </c>
      <c r="AY8" s="12" t="s">
        <v>35</v>
      </c>
      <c r="AZ8" s="12" t="s">
        <v>36</v>
      </c>
      <c r="BA8" s="12" t="s">
        <v>37</v>
      </c>
      <c r="BB8" s="12" t="s">
        <v>38</v>
      </c>
      <c r="BC8" s="12" t="s">
        <v>39</v>
      </c>
      <c r="BD8" s="12" t="s">
        <v>40</v>
      </c>
      <c r="BE8" s="12" t="s">
        <v>53</v>
      </c>
      <c r="BF8" s="12" t="s">
        <v>72</v>
      </c>
      <c r="BG8" s="12" t="s">
        <v>73</v>
      </c>
      <c r="BH8" s="12" t="s">
        <v>74</v>
      </c>
      <c r="BI8" s="12" t="s">
        <v>75</v>
      </c>
      <c r="BJ8" s="12" t="s">
        <v>76</v>
      </c>
      <c r="BK8" s="12" t="s">
        <v>77</v>
      </c>
      <c r="BL8" s="12" t="s">
        <v>78</v>
      </c>
      <c r="BM8" s="12" t="s">
        <v>79</v>
      </c>
      <c r="BN8" s="12" t="s">
        <v>80</v>
      </c>
      <c r="BO8" s="12" t="s">
        <v>81</v>
      </c>
      <c r="BP8" s="12" t="s">
        <v>82</v>
      </c>
      <c r="BQ8" s="12" t="s">
        <v>83</v>
      </c>
      <c r="BR8" s="12" t="s">
        <v>84</v>
      </c>
      <c r="BS8" s="12" t="s">
        <v>85</v>
      </c>
      <c r="BT8" s="12" t="s">
        <v>86</v>
      </c>
      <c r="BU8" s="12" t="s">
        <v>87</v>
      </c>
      <c r="BV8" s="12" t="s">
        <v>88</v>
      </c>
      <c r="BW8" s="12" t="s">
        <v>89</v>
      </c>
      <c r="BX8" s="12" t="s">
        <v>90</v>
      </c>
      <c r="BY8" s="12" t="s">
        <v>91</v>
      </c>
      <c r="BZ8" s="12" t="s">
        <v>92</v>
      </c>
      <c r="CA8" s="12" t="s">
        <v>93</v>
      </c>
      <c r="CB8" s="12" t="s">
        <v>94</v>
      </c>
      <c r="CC8" s="12" t="s">
        <v>95</v>
      </c>
      <c r="CD8" s="12" t="s">
        <v>96</v>
      </c>
      <c r="CE8" s="12" t="s">
        <v>97</v>
      </c>
      <c r="CF8" s="12" t="s">
        <v>98</v>
      </c>
      <c r="CG8" s="12" t="s">
        <v>99</v>
      </c>
      <c r="CH8" s="12" t="s">
        <v>100</v>
      </c>
      <c r="CI8" s="12" t="s">
        <v>101</v>
      </c>
      <c r="CJ8" s="12" t="s">
        <v>102</v>
      </c>
      <c r="CK8" s="12" t="s">
        <v>103</v>
      </c>
      <c r="CL8" s="12" t="s">
        <v>104</v>
      </c>
      <c r="CM8" s="12" t="s">
        <v>105</v>
      </c>
    </row>
    <row r="9" spans="1:91" s="16" customFormat="1" x14ac:dyDescent="0.25">
      <c r="A9" s="13" t="s">
        <v>56</v>
      </c>
      <c r="B9" s="14">
        <f>SUBTOTAL(103, Table1[[#This Row],[Type]])</f>
        <v>1</v>
      </c>
      <c r="C9" s="13"/>
      <c r="D9" s="15">
        <f>SUM(Table1[[#This Row],[w1]:[w87]])</f>
        <v>0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</row>
    <row r="10" spans="1:91" x14ac:dyDescent="0.25">
      <c r="A10" s="13" t="s">
        <v>55</v>
      </c>
      <c r="B10" s="13">
        <f>SUBTOTAL(103, Table1[[#This Row],[Type]])</f>
        <v>1</v>
      </c>
      <c r="C10" s="13"/>
      <c r="D10" s="17">
        <f>SUM(Table1[[#This Row],[w1]:[w87]])</f>
        <v>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</row>
  </sheetData>
  <sheetProtection formatCells="0" formatColumns="0" formatRows="0" insertColumns="0" insertRows="0" insertHyperlinks="0" deleteColumns="0" deleteRows="0" sort="0" autoFilter="0" pivotTables="0"/>
  <mergeCells count="43">
    <mergeCell ref="AJ3:AM3"/>
    <mergeCell ref="BF2:BI2"/>
    <mergeCell ref="BJ2:BM2"/>
    <mergeCell ref="BN2:BR2"/>
    <mergeCell ref="BS3:BV3"/>
    <mergeCell ref="BW3:BZ3"/>
    <mergeCell ref="CF3:CI3"/>
    <mergeCell ref="CJ3:CM3"/>
    <mergeCell ref="CA3:CE3"/>
    <mergeCell ref="BF3:BI3"/>
    <mergeCell ref="BJ3:BM3"/>
    <mergeCell ref="BN3:BR3"/>
    <mergeCell ref="R2:V2"/>
    <mergeCell ref="W2:Z2"/>
    <mergeCell ref="W3:Z3"/>
    <mergeCell ref="AE2:AI2"/>
    <mergeCell ref="AE3:AI3"/>
    <mergeCell ref="BA3:BE3"/>
    <mergeCell ref="AW3:AZ3"/>
    <mergeCell ref="BA2:BE2"/>
    <mergeCell ref="AW2:AZ2"/>
    <mergeCell ref="AR2:AV2"/>
    <mergeCell ref="AR3:AV3"/>
    <mergeCell ref="AN3:AQ3"/>
    <mergeCell ref="AJ2:AM2"/>
    <mergeCell ref="E3:H3"/>
    <mergeCell ref="AA3:AD3"/>
    <mergeCell ref="N3:Q3"/>
    <mergeCell ref="I3:M3"/>
    <mergeCell ref="R3:V3"/>
    <mergeCell ref="W1:BV1"/>
    <mergeCell ref="BW1:CM1"/>
    <mergeCell ref="E2:H2"/>
    <mergeCell ref="I2:M2"/>
    <mergeCell ref="N2:Q2"/>
    <mergeCell ref="AA2:AD2"/>
    <mergeCell ref="AN2:AQ2"/>
    <mergeCell ref="E1:V1"/>
    <mergeCell ref="BS2:BV2"/>
    <mergeCell ref="BW2:BZ2"/>
    <mergeCell ref="CA2:CE2"/>
    <mergeCell ref="CF2:CI2"/>
    <mergeCell ref="CJ2:CM2"/>
  </mergeCells>
  <phoneticPr fontId="2" type="noConversion"/>
  <dataValidations disablePrompts="1" count="1">
    <dataValidation type="list" showInputMessage="1" showErrorMessage="1" error="از لیست کشویی یک مقدار را انتخاب کنید" sqref="A9:A10" xr:uid="{3574D37E-C1E9-49D7-A49D-23277B81A7FD}">
      <formula1>List</formula1>
    </dataValidation>
  </dataValidations>
  <pageMargins left="0.7" right="0.7" top="0.75" bottom="0.75" header="0.3" footer="0.3"/>
  <pageSetup paperSize="9" scale="27" orientation="landscape" r:id="rId1"/>
  <ignoredErrors>
    <ignoredError sqref="D9" calculatedColumn="1"/>
    <ignoredError sqref="D10" unlockedFormula="1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BBC4-71C9-4411-BAEB-745703DCB502}">
  <sheetPr>
    <tabColor theme="1" tint="0.14999847407452621"/>
    <pageSetUpPr fitToPage="1"/>
  </sheetPr>
  <dimension ref="A1"/>
  <sheetViews>
    <sheetView showGridLines="0" zoomScale="70" zoomScaleNormal="70" workbookViewId="0"/>
  </sheetViews>
  <sheetFormatPr defaultRowHeight="16.5" x14ac:dyDescent="0.4"/>
  <sheetData/>
  <pageMargins left="0.25" right="0.25" top="0.75" bottom="0.75" header="0.3" footer="0.3"/>
  <pageSetup paperSize="9" scale="5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Chart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Aboutalebi</dc:creator>
  <cp:lastModifiedBy>Mohammad Aboutalebi</cp:lastModifiedBy>
  <cp:lastPrinted>2024-09-19T13:02:35Z</cp:lastPrinted>
  <dcterms:created xsi:type="dcterms:W3CDTF">2024-09-17T14:18:42Z</dcterms:created>
  <dcterms:modified xsi:type="dcterms:W3CDTF">2026-10-01T10:04:32Z</dcterms:modified>
</cp:coreProperties>
</file>